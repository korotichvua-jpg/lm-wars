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emma 4 (4B)" sheetId="2" state="visible" r:id="rId2"/>
    <sheet xmlns:r="http://schemas.openxmlformats.org/officeDocument/2006/relationships" name="Llama 3.3 (70B)" sheetId="3" state="visible" r:id="rId3"/>
    <sheet xmlns:r="http://schemas.openxmlformats.org/officeDocument/2006/relationships" name="Mistral Small (24B)" sheetId="4" state="visible" r:id="rId4"/>
    <sheet xmlns:r="http://schemas.openxmlformats.org/officeDocument/2006/relationships" name="Cerberus 4B" sheetId="5" state="visible" r:id="rId5"/>
    <sheet xmlns:r="http://schemas.openxmlformats.org/officeDocument/2006/relationships" name="DeepSeek R1 (14B)" sheetId="6" state="visible" r:id="rId6"/>
    <sheet xmlns:r="http://schemas.openxmlformats.org/officeDocument/2006/relationships" name="Cerberus 70B" sheetId="7" state="visible" r:id="rId7"/>
    <sheet xmlns:r="http://schemas.openxmlformats.org/officeDocument/2006/relationships" name="Qwen 32B" sheetId="8" state="visible" r:id="rId8"/>
    <sheet xmlns:r="http://schemas.openxmlformats.org/officeDocument/2006/relationships" name="Qwen Coder 14B" sheetId="9" state="visible" r:id="rId9"/>
    <sheet xmlns:r="http://schemas.openxmlformats.org/officeDocument/2006/relationships" name="ERCOT Sensitivity 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718096"/>
      <sz val="9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B365D"/>
      <sz val="10"/>
    </font>
    <font>
      <name val="Segoe UI"/>
      <b val="1"/>
      <color rgb="00FFFFFF"/>
      <sz val="13"/>
    </font>
    <font>
      <name val="Segoe UI"/>
      <b val="1"/>
      <color rgb="004A5568"/>
      <sz val="9"/>
    </font>
    <font>
      <name val="Segoe UI"/>
      <b val="1"/>
      <color rgb="00C5303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2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22" customWidth="1" min="2" max="2"/>
    <col width="19" customWidth="1" min="3" max="3"/>
    <col width="19" customWidth="1" min="4" max="4"/>
    <col width="19" customWidth="1" min="5" max="5"/>
    <col width="23" customWidth="1" min="6" max="6"/>
    <col width="19" customWidth="1" min="7" max="7"/>
    <col width="19" customWidth="1" min="8" max="8"/>
    <col width="19" customWidth="1" min="9" max="9"/>
  </cols>
  <sheetData>
    <row r="1" ht="40" customHeight="1">
      <c r="A1" s="1" t="inlineStr">
        <is>
          <t>TEXAS 2GW AI DATA CENTER: CONSOLIDATED ENTERPRISE BENCHMARK</t>
        </is>
      </c>
    </row>
    <row r="2" ht="20" customHeight="1">
      <c r="A2" s="2" t="inlineStr">
        <is>
          <t>Comparative Economic &amp; Engineering Analysis Across 8 AI Models | Date: 2026-10-04 | Classification: Strictly Confidential</t>
        </is>
      </c>
    </row>
    <row r="3"/>
    <row r="4" ht="26" customHeight="1">
      <c r="A4" s="3" t="inlineStr">
        <is>
          <t>Model Identifier</t>
        </is>
      </c>
      <c r="B4" s="3" t="inlineStr">
        <is>
          <t>Model Architecture</t>
        </is>
      </c>
      <c r="C4" s="3" t="inlineStr">
        <is>
          <t>CapEx Low ($)</t>
        </is>
      </c>
      <c r="D4" s="3" t="inlineStr">
        <is>
          <t>CapEx High ($)</t>
        </is>
      </c>
      <c r="E4" s="3" t="inlineStr">
        <is>
          <t>CapEx Mid ($)</t>
        </is>
      </c>
      <c r="F4" s="3" t="inlineStr">
        <is>
          <t>Est. Annual OpEx ($)</t>
        </is>
      </c>
      <c r="G4" s="3" t="inlineStr">
        <is>
          <t>Facility (Sq Ft)</t>
        </is>
      </c>
      <c r="H4" s="3" t="inlineStr">
        <is>
          <t>$/Watt (CapEx)</t>
        </is>
      </c>
      <c r="I4" s="3" t="inlineStr">
        <is>
          <t>TPS Speed</t>
        </is>
      </c>
    </row>
    <row r="5" ht="22" customHeight="1">
      <c r="A5" s="4" t="inlineStr">
        <is>
          <t>Google Gemma 4 E4B</t>
        </is>
      </c>
      <c r="B5" s="5" t="inlineStr">
        <is>
          <t>Gemma 4 (4B)</t>
        </is>
      </c>
      <c r="C5" s="6" t="n">
        <v>2900000000</v>
      </c>
      <c r="D5" s="6" t="n">
        <v>5600000000</v>
      </c>
      <c r="E5" s="7" t="n">
        <v>4250000000</v>
      </c>
      <c r="F5" s="6" t="n">
        <v>1600000000</v>
      </c>
      <c r="G5" s="8" t="inlineStr">
        <is>
          <t>2,500,000</t>
        </is>
      </c>
      <c r="H5" s="9">
        <f>E5/2000000000</f>
        <v/>
      </c>
      <c r="I5" s="10" t="n">
        <v>9.34</v>
      </c>
    </row>
    <row r="6" ht="22" customHeight="1">
      <c r="A6" s="4" t="inlineStr">
        <is>
          <t>Llama 3.3 70B Instruct</t>
        </is>
      </c>
      <c r="B6" s="5" t="inlineStr">
        <is>
          <t>Llama 3.3 (70B)</t>
        </is>
      </c>
      <c r="C6" s="6" t="n">
        <v>543000000</v>
      </c>
      <c r="D6" s="6" t="n">
        <v>943000000</v>
      </c>
      <c r="E6" s="7" t="n">
        <v>743000000</v>
      </c>
      <c r="F6" s="6" t="n">
        <v>120000000</v>
      </c>
      <c r="G6" s="8" t="inlineStr">
        <is>
          <t>1,400,000</t>
        </is>
      </c>
      <c r="H6" s="9">
        <f>E6/2000000000</f>
        <v/>
      </c>
      <c r="I6" s="10" t="n">
        <v>0.68</v>
      </c>
    </row>
    <row r="7" ht="22" customHeight="1">
      <c r="A7" s="4" t="inlineStr">
        <is>
          <t>Mistral Small 24B Instruct</t>
        </is>
      </c>
      <c r="B7" s="5" t="inlineStr">
        <is>
          <t>Mistral Small (24B)</t>
        </is>
      </c>
      <c r="C7" s="6" t="n">
        <v>2422000000</v>
      </c>
      <c r="D7" s="6" t="n">
        <v>2664200000</v>
      </c>
      <c r="E7" s="7" t="n">
        <v>2664200000</v>
      </c>
      <c r="F7" s="6" t="n">
        <v>100000000</v>
      </c>
      <c r="G7" s="8" t="inlineStr">
        <is>
          <t>1,000,000</t>
        </is>
      </c>
      <c r="H7" s="9">
        <f>E7/2000000000</f>
        <v/>
      </c>
      <c r="I7" s="10" t="n">
        <v>1.38</v>
      </c>
    </row>
    <row r="8" ht="22" customHeight="1">
      <c r="A8" s="4" t="inlineStr">
        <is>
          <t>Cerberus 4B v2 Abliterated</t>
        </is>
      </c>
      <c r="B8" s="5" t="inlineStr">
        <is>
          <t>Cerberus 4B</t>
        </is>
      </c>
      <c r="C8" s="6" t="n">
        <v>1800000000</v>
      </c>
      <c r="D8" s="6" t="n">
        <v>3200000000</v>
      </c>
      <c r="E8" s="7" t="n">
        <v>2500000000</v>
      </c>
      <c r="F8" s="6" t="n">
        <v>210000000</v>
      </c>
      <c r="G8" s="8" t="inlineStr">
        <is>
          <t>2,000,000</t>
        </is>
      </c>
      <c r="H8" s="9">
        <f>E8/2000000000</f>
        <v/>
      </c>
      <c r="I8" s="10" t="n">
        <v>56.54</v>
      </c>
    </row>
    <row r="9" ht="22" customHeight="1">
      <c r="A9" s="4" t="inlineStr">
        <is>
          <t>DeepSeek R1 Distill Qwen 14B</t>
        </is>
      </c>
      <c r="B9" s="5" t="inlineStr">
        <is>
          <t>DeepSeek R1 (14B)</t>
        </is>
      </c>
      <c r="C9" s="6" t="n">
        <v>925000000</v>
      </c>
      <c r="D9" s="6" t="n">
        <v>1000000000</v>
      </c>
      <c r="E9" s="7" t="n">
        <v>962500000</v>
      </c>
      <c r="F9" s="6" t="n">
        <v>100000000</v>
      </c>
      <c r="G9" s="8" t="inlineStr">
        <is>
          <t>1,000,000</t>
        </is>
      </c>
      <c r="H9" s="9">
        <f>E9/2000000000</f>
        <v/>
      </c>
      <c r="I9" s="10" t="n">
        <v>3.44</v>
      </c>
    </row>
    <row r="10" ht="22" customHeight="1">
      <c r="A10" s="4" t="inlineStr">
        <is>
          <t>Cerberus v0.1</t>
        </is>
      </c>
      <c r="B10" s="5" t="inlineStr">
        <is>
          <t>Cerberus 70B</t>
        </is>
      </c>
      <c r="C10" s="6" t="n">
        <v>500000000</v>
      </c>
      <c r="D10" s="6" t="n">
        <v>750000000</v>
      </c>
      <c r="E10" s="7" t="n">
        <v>625000000</v>
      </c>
      <c r="F10" s="6" t="n">
        <v>85000000</v>
      </c>
      <c r="G10" s="8" t="inlineStr">
        <is>
          <t>800,000</t>
        </is>
      </c>
      <c r="H10" s="9">
        <f>E10/2000000000</f>
        <v/>
      </c>
      <c r="I10" s="10" t="n">
        <v>0.75</v>
      </c>
    </row>
    <row r="11" ht="22" customHeight="1">
      <c r="A11" s="4" t="inlineStr">
        <is>
          <t>Qwen 2.5 32B Instruct</t>
        </is>
      </c>
      <c r="B11" s="5" t="inlineStr">
        <is>
          <t>Qwen 32B</t>
        </is>
      </c>
      <c r="C11" s="6" t="n">
        <v>87500000</v>
      </c>
      <c r="D11" s="6" t="n">
        <v>1750000000</v>
      </c>
      <c r="E11" s="7" t="n">
        <v>875000000</v>
      </c>
      <c r="F11" s="6" t="n">
        <v>40000000</v>
      </c>
      <c r="G11" s="8" t="inlineStr">
        <is>
          <t>100,000</t>
        </is>
      </c>
      <c r="H11" s="9">
        <f>E11/2000000000</f>
        <v/>
      </c>
      <c r="I11" s="10" t="n">
        <v>1.14</v>
      </c>
    </row>
    <row r="12" ht="22" customHeight="1">
      <c r="A12" s="4" t="inlineStr">
        <is>
          <t>Qwen 2.5 Coder 14B Instruct</t>
        </is>
      </c>
      <c r="B12" s="5" t="inlineStr">
        <is>
          <t>Qwen Coder 14B</t>
        </is>
      </c>
      <c r="C12" s="6" t="n">
        <v>90000000</v>
      </c>
      <c r="D12" s="6" t="n">
        <v>1500000000</v>
      </c>
      <c r="E12" s="7" t="n">
        <v>750000000</v>
      </c>
      <c r="F12" s="6" t="n">
        <v>65000000</v>
      </c>
      <c r="G12" s="8" t="inlineStr">
        <is>
          <t>500,000</t>
        </is>
      </c>
      <c r="H12" s="9">
        <f>E12/2000000000</f>
        <v/>
      </c>
      <c r="I12" s="10" t="n">
        <v>3.17</v>
      </c>
    </row>
    <row r="13" ht="28" customHeight="1">
      <c r="A13" s="11" t="inlineStr">
        <is>
          <t>CONSOLIDATED BENCHMARK AVERAGE</t>
        </is>
      </c>
      <c r="C13" s="12">
        <f>AVERAGE(C5:C12)</f>
        <v/>
      </c>
      <c r="D13" s="12">
        <f>AVERAGE(D5:D12)</f>
        <v/>
      </c>
      <c r="E13" s="12">
        <f>AVERAGE(E5:E12)</f>
        <v/>
      </c>
      <c r="F13" s="12">
        <f>AVERAGE(F5:F12)</f>
        <v/>
      </c>
      <c r="H13" s="13">
        <f>AVERAGE(H5:H12)</f>
        <v/>
      </c>
      <c r="I13" s="14">
        <f>AVERAGE(I5:I12)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70" customWidth="1" min="2" max="2"/>
    <col width="34" customWidth="1" min="3" max="3"/>
    <col width="24" customWidth="1" min="4" max="4"/>
    <col width="21" customWidth="1" min="5" max="5"/>
    <col width="34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5" t="inlineStr">
        <is>
          <t>GOOGLE GEMMA 4 E4B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2,500,000 sq ft</t>
        </is>
      </c>
      <c r="C4" s="18" t="n">
        <v>4250000000</v>
      </c>
      <c r="D4" s="18" t="n">
        <v>1600000000</v>
      </c>
      <c r="E4" s="17" t="inlineStr">
        <is>
          <t>9.34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Site Acquisition &amp; ERCOT Interconnection Permitting</t>
        </is>
      </c>
      <c r="C7" s="19" t="inlineStr">
        <is>
          <t>Turnkey Facility Infrastructure</t>
        </is>
      </c>
      <c r="D7" s="6" t="n">
        <v>100000000</v>
      </c>
      <c r="E7" s="20">
        <f>D7/$D$14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Civil &amp; Structural Mega-Buildout (Reinforced Foundations)</t>
        </is>
      </c>
      <c r="C8" s="19" t="inlineStr">
        <is>
          <t>Turnkey Facility Infrastructure</t>
        </is>
      </c>
      <c r="D8" s="6" t="n">
        <v>575000000</v>
      </c>
      <c r="E8" s="20">
        <f>D8/$D$14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Electrical Infrastructure (Dual 345kV Substations, UPS, Switchgear)</t>
        </is>
      </c>
      <c r="C9" s="19" t="inlineStr">
        <is>
          <t>Turnkey Facility Infrastructure</t>
        </is>
      </c>
      <c r="D9" s="6" t="n">
        <v>2150000000</v>
      </c>
      <c r="E9" s="20">
        <f>D9/$D$14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Cooling &amp; Direct Liquid Cooling (DLC) Plant (CDU / Closed Loop)</t>
        </is>
      </c>
      <c r="C10" s="19" t="inlineStr">
        <is>
          <t>Turnkey Facility Infrastructure</t>
        </is>
      </c>
      <c r="D10" s="6" t="n">
        <v>475000000</v>
      </c>
      <c r="E10" s="20">
        <f>D10/$D$14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Core High-Density Data Hall Buildout (Gas Suppression, Fiber)</t>
        </is>
      </c>
      <c r="C11" s="19" t="inlineStr">
        <is>
          <t>Turnkey Facility Infrastructure</t>
        </is>
      </c>
      <c r="D11" s="6" t="n">
        <v>350000000</v>
      </c>
      <c r="E11" s="20">
        <f>D11/$D$14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Initial Network Backbone &amp; Commissioning</t>
        </is>
      </c>
      <c r="C12" s="19" t="inlineStr">
        <is>
          <t>Turnkey Facility Infrastructure</t>
        </is>
      </c>
      <c r="D12" s="6" t="n">
        <v>200000000</v>
      </c>
      <c r="E12" s="20">
        <f>D12/$D$14</f>
        <v/>
      </c>
      <c r="F12" s="5" t="inlineStr">
        <is>
          <t>Tier IV Specification Benchmark</t>
        </is>
      </c>
    </row>
    <row r="13" ht="20" customHeight="1">
      <c r="A13" s="19" t="n">
        <v>7</v>
      </c>
      <c r="B13" s="5" t="inlineStr">
        <is>
          <t>Contingency &amp; Supply Chain Escalation Buffer</t>
        </is>
      </c>
      <c r="C13" s="19" t="inlineStr">
        <is>
          <t>Turnkey Facility Infrastructure</t>
        </is>
      </c>
      <c r="D13" s="6" t="n">
        <v>400000000</v>
      </c>
      <c r="E13" s="20">
        <f>D13/$D$14</f>
        <v/>
      </c>
      <c r="F13" s="5" t="inlineStr">
        <is>
          <t>Tier IV Specification Benchmark</t>
        </is>
      </c>
    </row>
    <row r="14" ht="24" customHeight="1">
      <c r="B14" s="11" t="inlineStr">
        <is>
          <t>TOTAL MODELED CAPITAL EXPENDITURE</t>
        </is>
      </c>
      <c r="D14" s="12">
        <f>SUM(D7:D13)</f>
        <v/>
      </c>
      <c r="E14" s="21">
        <f>SUM(E7:E13)</f>
        <v/>
      </c>
    </row>
    <row r="15"/>
    <row r="16"/>
    <row r="17" ht="26" customHeight="1">
      <c r="A17" s="22" t="inlineStr">
        <is>
          <t>10-YEAR PRO-FORMA CASH FLOWS &amp; DEBT RETIREMENT ($USD)</t>
        </is>
      </c>
    </row>
    <row r="18" ht="22" customHeight="1">
      <c r="A18" s="3" t="inlineStr">
        <is>
          <t>Cash Flow Line Item</t>
        </is>
      </c>
      <c r="B18" s="3" t="inlineStr">
        <is>
          <t>Year 0</t>
        </is>
      </c>
      <c r="C18" s="3" t="inlineStr">
        <is>
          <t>Year 1</t>
        </is>
      </c>
      <c r="D18" s="3" t="inlineStr">
        <is>
          <t>Year 2</t>
        </is>
      </c>
      <c r="E18" s="3" t="inlineStr">
        <is>
          <t>Year 3</t>
        </is>
      </c>
      <c r="F18" s="3" t="inlineStr">
        <is>
          <t>Year 4</t>
        </is>
      </c>
      <c r="G18" s="3" t="inlineStr">
        <is>
          <t>Year 5</t>
        </is>
      </c>
      <c r="H18" s="3" t="inlineStr">
        <is>
          <t>Year 6</t>
        </is>
      </c>
      <c r="I18" s="3" t="inlineStr">
        <is>
          <t>Year 7</t>
        </is>
      </c>
      <c r="J18" s="3" t="inlineStr">
        <is>
          <t>Year 8</t>
        </is>
      </c>
      <c r="K18" s="3" t="inlineStr">
        <is>
          <t>Year 9</t>
        </is>
      </c>
      <c r="L18" s="3" t="inlineStr">
        <is>
          <t>Year 10</t>
        </is>
      </c>
    </row>
    <row r="19" ht="20" customHeight="1">
      <c r="A19" s="5" t="inlineStr">
        <is>
          <t>Gross Capacity Lease Revenue (Escalating 3% p.a.)</t>
        </is>
      </c>
      <c r="B19" s="23" t="n">
        <v>0</v>
      </c>
      <c r="C19" s="6" t="n">
        <v>1615000000</v>
      </c>
      <c r="D19" s="6" t="n">
        <v>1663450000</v>
      </c>
      <c r="E19" s="6" t="n">
        <v>1713353500</v>
      </c>
      <c r="F19" s="6" t="n">
        <v>1764754105</v>
      </c>
      <c r="G19" s="6" t="n">
        <v>1817696728.15</v>
      </c>
      <c r="H19" s="6" t="n">
        <v>1872227629.9945</v>
      </c>
      <c r="I19" s="6" t="n">
        <v>1928394458.894335</v>
      </c>
      <c r="J19" s="6" t="n">
        <v>1986246292.661165</v>
      </c>
      <c r="K19" s="6" t="n">
        <v>2045833681.441</v>
      </c>
      <c r="L19" s="6" t="n">
        <v>2107208691.884231</v>
      </c>
    </row>
    <row r="20" ht="20" customHeight="1">
      <c r="A20" s="5" t="inlineStr">
        <is>
          <t>Facility Operating Expenses (OpEx + Grid Tariff)</t>
        </is>
      </c>
      <c r="B20" s="23" t="n">
        <v>0</v>
      </c>
      <c r="C20" s="6" t="n">
        <v>1600000000</v>
      </c>
      <c r="D20" s="6" t="n">
        <v>1640000000</v>
      </c>
      <c r="E20" s="6" t="n">
        <v>1681000000</v>
      </c>
      <c r="F20" s="6" t="n">
        <v>1723025000</v>
      </c>
      <c r="G20" s="6" t="n">
        <v>1766100624.999999</v>
      </c>
      <c r="H20" s="6" t="n">
        <v>1810253140.624999</v>
      </c>
      <c r="I20" s="6" t="n">
        <v>1855509469.140624</v>
      </c>
      <c r="J20" s="6" t="n">
        <v>1901897205.86914</v>
      </c>
      <c r="K20" s="6" t="n">
        <v>1949444636.015868</v>
      </c>
      <c r="L20" s="6" t="n">
        <v>1998180751.916264</v>
      </c>
    </row>
    <row r="21" ht="20" customHeight="1">
      <c r="A21" s="4" t="inlineStr">
        <is>
          <t>Net Operating Income (NOI)</t>
        </is>
      </c>
      <c r="B21" s="24" t="inlineStr">
        <is>
          <t>-</t>
        </is>
      </c>
      <c r="C21" s="25">
        <f>C19-C20</f>
        <v/>
      </c>
      <c r="D21" s="25">
        <f>D19-D20</f>
        <v/>
      </c>
      <c r="E21" s="25">
        <f>E19-E20</f>
        <v/>
      </c>
      <c r="F21" s="25">
        <f>F19-F20</f>
        <v/>
      </c>
      <c r="G21" s="25">
        <f>G19-G20</f>
        <v/>
      </c>
      <c r="H21" s="25">
        <f>H19-H20</f>
        <v/>
      </c>
      <c r="I21" s="25">
        <f>I19-I20</f>
        <v/>
      </c>
      <c r="J21" s="25">
        <f>J19-J20</f>
        <v/>
      </c>
      <c r="K21" s="25">
        <f>K19-K20</f>
        <v/>
      </c>
      <c r="L21" s="25">
        <f>L19-L20</f>
        <v/>
      </c>
    </row>
    <row r="22" ht="20" customHeight="1">
      <c r="A22" s="5" t="inlineStr">
        <is>
          <t>Debt Service (P&amp;I 6.5% Amortized 15 Years)</t>
        </is>
      </c>
      <c r="B22" s="23" t="n">
        <v>0</v>
      </c>
      <c r="C22" s="6" t="n">
        <v>340000000</v>
      </c>
      <c r="D22" s="6" t="n">
        <v>340000000</v>
      </c>
      <c r="E22" s="6" t="n">
        <v>340000000</v>
      </c>
      <c r="F22" s="6" t="n">
        <v>340000000</v>
      </c>
      <c r="G22" s="6" t="n">
        <v>340000000</v>
      </c>
      <c r="H22" s="6" t="n">
        <v>340000000</v>
      </c>
      <c r="I22" s="6" t="n">
        <v>340000000</v>
      </c>
      <c r="J22" s="6" t="n">
        <v>340000000</v>
      </c>
      <c r="K22" s="6" t="n">
        <v>340000000</v>
      </c>
      <c r="L22" s="6" t="n">
        <v>340000000</v>
      </c>
    </row>
    <row r="23" ht="20" customHeight="1">
      <c r="A23" s="4" t="inlineStr">
        <is>
          <t>Free Cash Flow to Equity (FCFE)</t>
        </is>
      </c>
      <c r="B23" s="26">
        <f>-D14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</row>
    <row r="24" ht="20" customHeight="1">
      <c r="A24" s="4" t="inlineStr">
        <is>
          <t>Cumulative Equity Position</t>
        </is>
      </c>
      <c r="B24" s="23">
        <f>B23</f>
        <v/>
      </c>
      <c r="C24" s="25">
        <f>B24+C23</f>
        <v/>
      </c>
      <c r="D24" s="25">
        <f>C24+D23</f>
        <v/>
      </c>
      <c r="E24" s="25">
        <f>D24+E23</f>
        <v/>
      </c>
      <c r="F24" s="25">
        <f>E24+F23</f>
        <v/>
      </c>
      <c r="G24" s="25">
        <f>F24+G23</f>
        <v/>
      </c>
      <c r="H24" s="25">
        <f>G24+H23</f>
        <v/>
      </c>
      <c r="I24" s="25">
        <f>H24+I23</f>
        <v/>
      </c>
      <c r="J24" s="25">
        <f>I24+J23</f>
        <v/>
      </c>
      <c r="K24" s="25">
        <f>J24+K23</f>
        <v/>
      </c>
      <c r="L24" s="25">
        <f>K24+L23</f>
        <v/>
      </c>
    </row>
  </sheetData>
  <mergeCells count="2">
    <mergeCell ref="A1:G1"/>
    <mergeCell ref="A17:L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57" customWidth="1" min="2" max="2"/>
    <col width="34" customWidth="1" min="3" max="3"/>
    <col width="24" customWidth="1" min="4" max="4"/>
    <col width="21" customWidth="1" min="5" max="5"/>
    <col width="34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5" t="inlineStr">
        <is>
          <t>LLAMA 3.3 70B INSTRUCT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1,400,000 sq ft</t>
        </is>
      </c>
      <c r="C4" s="18" t="n">
        <v>743000000</v>
      </c>
      <c r="D4" s="18" t="n">
        <v>120000000</v>
      </c>
      <c r="E4" s="17" t="inlineStr">
        <is>
          <t>0.68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Land &amp; Site Preparation (50 Acres)</t>
        </is>
      </c>
      <c r="C7" s="19" t="inlineStr">
        <is>
          <t>Turnkey Facility Infrastructure</t>
        </is>
      </c>
      <c r="D7" s="6" t="n">
        <v>15000000</v>
      </c>
      <c r="E7" s="20">
        <f>D7/$D$15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Building &amp; Structural Shell (Steel Cladding, Roofing)</t>
        </is>
      </c>
      <c r="C8" s="19" t="inlineStr">
        <is>
          <t>Turnkey Facility Infrastructure</t>
        </is>
      </c>
      <c r="D8" s="6" t="n">
        <v>66000000</v>
      </c>
      <c r="E8" s="20">
        <f>D8/$D$15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MEP (Power Distribution Units, Generators, Chillers)</t>
        </is>
      </c>
      <c r="C9" s="19" t="inlineStr">
        <is>
          <t>Turnkey Facility Infrastructure</t>
        </is>
      </c>
      <c r="D9" s="6" t="n">
        <v>122500000</v>
      </c>
      <c r="E9" s="20">
        <f>D9/$D$15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Data Center Infrastructure (Racks, PDU Runs)</t>
        </is>
      </c>
      <c r="C10" s="19" t="inlineStr">
        <is>
          <t>Turnkey Facility Infrastructure</t>
        </is>
      </c>
      <c r="D10" s="6" t="n">
        <v>75000000</v>
      </c>
      <c r="E10" s="20">
        <f>D10/$D$15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Security &amp; Access Control (Biometric, CCTV, Perimeter)</t>
        </is>
      </c>
      <c r="C11" s="19" t="inlineStr">
        <is>
          <t>Turnkey Facility Infrastructure</t>
        </is>
      </c>
      <c r="D11" s="6" t="n">
        <v>18500000</v>
      </c>
      <c r="E11" s="20">
        <f>D11/$D$15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IT &amp; Optical Network Infrastructure (Spine-Leaf Fiber)</t>
        </is>
      </c>
      <c r="C12" s="19" t="inlineStr">
        <is>
          <t>Turnkey Facility Infrastructure</t>
        </is>
      </c>
      <c r="D12" s="6" t="n">
        <v>24500000</v>
      </c>
      <c r="E12" s="20">
        <f>D12/$D$15</f>
        <v/>
      </c>
      <c r="F12" s="5" t="inlineStr">
        <is>
          <t>Tier IV Specification Benchmark</t>
        </is>
      </c>
    </row>
    <row r="13" ht="20" customHeight="1">
      <c r="A13" s="19" t="n">
        <v>7</v>
      </c>
      <c r="B13" s="5" t="inlineStr">
        <is>
          <t>Testing, Factory Acceptance &amp; Commissioning</t>
        </is>
      </c>
      <c r="C13" s="19" t="inlineStr">
        <is>
          <t>Turnkey Facility Infrastructure</t>
        </is>
      </c>
      <c r="D13" s="6" t="n">
        <v>7500000</v>
      </c>
      <c r="E13" s="20">
        <f>D13/$D$15</f>
        <v/>
      </c>
      <c r="F13" s="5" t="inlineStr">
        <is>
          <t>Tier IV Specification Benchmark</t>
        </is>
      </c>
    </row>
    <row r="14" ht="20" customHeight="1">
      <c r="A14" s="19" t="n">
        <v>8</v>
      </c>
      <c r="B14" s="5" t="inlineStr">
        <is>
          <t>Contingency Buffer (10% Risk Allocation)</t>
        </is>
      </c>
      <c r="C14" s="19" t="inlineStr">
        <is>
          <t>Turnkey Facility Infrastructure</t>
        </is>
      </c>
      <c r="D14" s="6" t="n">
        <v>150000000</v>
      </c>
      <c r="E14" s="20">
        <f>D14/$D$15</f>
        <v/>
      </c>
      <c r="F14" s="5" t="inlineStr">
        <is>
          <t>Tier IV Specification Benchmark</t>
        </is>
      </c>
    </row>
    <row r="15" ht="24" customHeight="1">
      <c r="B15" s="11" t="inlineStr">
        <is>
          <t>TOTAL MODELED CAPITAL EXPENDITURE</t>
        </is>
      </c>
      <c r="D15" s="12">
        <f>SUM(D7:D14)</f>
        <v/>
      </c>
      <c r="E15" s="21">
        <f>SUM(E7:E14)</f>
        <v/>
      </c>
    </row>
    <row r="16"/>
    <row r="17"/>
    <row r="18" ht="26" customHeight="1">
      <c r="A18" s="22" t="inlineStr">
        <is>
          <t>10-YEAR PRO-FORMA CASH FLOWS &amp; DEBT RETIREMENT ($USD)</t>
        </is>
      </c>
    </row>
    <row r="19" ht="22" customHeight="1">
      <c r="A19" s="3" t="inlineStr">
        <is>
          <t>Cash Flow Line Item</t>
        </is>
      </c>
      <c r="B19" s="3" t="inlineStr">
        <is>
          <t>Year 0</t>
        </is>
      </c>
      <c r="C19" s="3" t="inlineStr">
        <is>
          <t>Year 1</t>
        </is>
      </c>
      <c r="D19" s="3" t="inlineStr">
        <is>
          <t>Year 2</t>
        </is>
      </c>
      <c r="E19" s="3" t="inlineStr">
        <is>
          <t>Year 3</t>
        </is>
      </c>
      <c r="F19" s="3" t="inlineStr">
        <is>
          <t>Year 4</t>
        </is>
      </c>
      <c r="G19" s="3" t="inlineStr">
        <is>
          <t>Year 5</t>
        </is>
      </c>
      <c r="H19" s="3" t="inlineStr">
        <is>
          <t>Year 6</t>
        </is>
      </c>
      <c r="I19" s="3" t="inlineStr">
        <is>
          <t>Year 7</t>
        </is>
      </c>
      <c r="J19" s="3" t="inlineStr">
        <is>
          <t>Year 8</t>
        </is>
      </c>
      <c r="K19" s="3" t="inlineStr">
        <is>
          <t>Year 9</t>
        </is>
      </c>
      <c r="L19" s="3" t="inlineStr">
        <is>
          <t>Year 10</t>
        </is>
      </c>
    </row>
    <row r="20" ht="20" customHeight="1">
      <c r="A20" s="5" t="inlineStr">
        <is>
          <t>Gross Capacity Lease Revenue (Escalating 3% p.a.)</t>
        </is>
      </c>
      <c r="B20" s="23" t="n">
        <v>0</v>
      </c>
      <c r="C20" s="6" t="n">
        <v>282340000</v>
      </c>
      <c r="D20" s="6" t="n">
        <v>290810200</v>
      </c>
      <c r="E20" s="6" t="n">
        <v>299534506</v>
      </c>
      <c r="F20" s="6" t="n">
        <v>308520541.18</v>
      </c>
      <c r="G20" s="6" t="n">
        <v>317776157.4154</v>
      </c>
      <c r="H20" s="6" t="n">
        <v>327309442.137862</v>
      </c>
      <c r="I20" s="6" t="n">
        <v>337128725.4019979</v>
      </c>
      <c r="J20" s="6" t="n">
        <v>347242587.1640579</v>
      </c>
      <c r="K20" s="6" t="n">
        <v>357659864.7789796</v>
      </c>
      <c r="L20" s="6" t="n">
        <v>368389660.722349</v>
      </c>
    </row>
    <row r="21" ht="20" customHeight="1">
      <c r="A21" s="5" t="inlineStr">
        <is>
          <t>Facility Operating Expenses (OpEx + Grid Tariff)</t>
        </is>
      </c>
      <c r="B21" s="23" t="n">
        <v>0</v>
      </c>
      <c r="C21" s="6" t="n">
        <v>120000000</v>
      </c>
      <c r="D21" s="6" t="n">
        <v>123000000</v>
      </c>
      <c r="E21" s="6" t="n">
        <v>126075000</v>
      </c>
      <c r="F21" s="6" t="n">
        <v>129226875</v>
      </c>
      <c r="G21" s="6" t="n">
        <v>132457546.8749999</v>
      </c>
      <c r="H21" s="6" t="n">
        <v>135768985.5468749</v>
      </c>
      <c r="I21" s="6" t="n">
        <v>139163210.1855468</v>
      </c>
      <c r="J21" s="6" t="n">
        <v>142642290.4401855</v>
      </c>
      <c r="K21" s="6" t="n">
        <v>146208347.7011901</v>
      </c>
      <c r="L21" s="6" t="n">
        <v>149863556.3937198</v>
      </c>
    </row>
    <row r="22" ht="20" customHeight="1">
      <c r="A22" s="4" t="inlineStr">
        <is>
          <t>Net Operating Income (NOI)</t>
        </is>
      </c>
      <c r="B22" s="24" t="inlineStr">
        <is>
          <t>-</t>
        </is>
      </c>
      <c r="C22" s="25">
        <f>C20-C21</f>
        <v/>
      </c>
      <c r="D22" s="25">
        <f>D20-D21</f>
        <v/>
      </c>
      <c r="E22" s="25">
        <f>E20-E21</f>
        <v/>
      </c>
      <c r="F22" s="25">
        <f>F20-F21</f>
        <v/>
      </c>
      <c r="G22" s="25">
        <f>G20-G21</f>
        <v/>
      </c>
      <c r="H22" s="25">
        <f>H20-H21</f>
        <v/>
      </c>
      <c r="I22" s="25">
        <f>I20-I21</f>
        <v/>
      </c>
      <c r="J22" s="25">
        <f>J20-J21</f>
        <v/>
      </c>
      <c r="K22" s="25">
        <f>K20-K21</f>
        <v/>
      </c>
      <c r="L22" s="25">
        <f>L20-L21</f>
        <v/>
      </c>
    </row>
    <row r="23" ht="20" customHeight="1">
      <c r="A23" s="5" t="inlineStr">
        <is>
          <t>Debt Service (P&amp;I 6.5% Amortized 15 Years)</t>
        </is>
      </c>
      <c r="B23" s="23" t="n">
        <v>0</v>
      </c>
      <c r="C23" s="6" t="n">
        <v>59440000</v>
      </c>
      <c r="D23" s="6" t="n">
        <v>59440000</v>
      </c>
      <c r="E23" s="6" t="n">
        <v>59440000</v>
      </c>
      <c r="F23" s="6" t="n">
        <v>59440000</v>
      </c>
      <c r="G23" s="6" t="n">
        <v>59440000</v>
      </c>
      <c r="H23" s="6" t="n">
        <v>59440000</v>
      </c>
      <c r="I23" s="6" t="n">
        <v>59440000</v>
      </c>
      <c r="J23" s="6" t="n">
        <v>59440000</v>
      </c>
      <c r="K23" s="6" t="n">
        <v>59440000</v>
      </c>
      <c r="L23" s="6" t="n">
        <v>59440000</v>
      </c>
    </row>
    <row r="24" ht="20" customHeight="1">
      <c r="A24" s="4" t="inlineStr">
        <is>
          <t>Free Cash Flow to Equity (FCFE)</t>
        </is>
      </c>
      <c r="B24" s="26">
        <f>-D15</f>
        <v/>
      </c>
      <c r="C24" s="25">
        <f>C22-C23</f>
        <v/>
      </c>
      <c r="D24" s="25">
        <f>D22-D23</f>
        <v/>
      </c>
      <c r="E24" s="25">
        <f>E22-E23</f>
        <v/>
      </c>
      <c r="F24" s="25">
        <f>F22-F23</f>
        <v/>
      </c>
      <c r="G24" s="25">
        <f>G22-G23</f>
        <v/>
      </c>
      <c r="H24" s="25">
        <f>H22-H23</f>
        <v/>
      </c>
      <c r="I24" s="25">
        <f>I22-I23</f>
        <v/>
      </c>
      <c r="J24" s="25">
        <f>J22-J23</f>
        <v/>
      </c>
      <c r="K24" s="25">
        <f>K22-K23</f>
        <v/>
      </c>
      <c r="L24" s="25">
        <f>L22-L23</f>
        <v/>
      </c>
    </row>
    <row r="25" ht="20" customHeight="1">
      <c r="A25" s="4" t="inlineStr">
        <is>
          <t>Cumulative Equity Position</t>
        </is>
      </c>
      <c r="B25" s="23">
        <f>B24</f>
        <v/>
      </c>
      <c r="C25" s="25">
        <f>B25+C24</f>
        <v/>
      </c>
      <c r="D25" s="25">
        <f>C25+D24</f>
        <v/>
      </c>
      <c r="E25" s="25">
        <f>D25+E24</f>
        <v/>
      </c>
      <c r="F25" s="25">
        <f>E25+F24</f>
        <v/>
      </c>
      <c r="G25" s="25">
        <f>F25+G24</f>
        <v/>
      </c>
      <c r="H25" s="25">
        <f>G25+H24</f>
        <v/>
      </c>
      <c r="I25" s="25">
        <f>H25+I24</f>
        <v/>
      </c>
      <c r="J25" s="25">
        <f>I25+J24</f>
        <v/>
      </c>
      <c r="K25" s="25">
        <f>J25+K24</f>
        <v/>
      </c>
      <c r="L25" s="25">
        <f>K25+L24</f>
        <v/>
      </c>
    </row>
  </sheetData>
  <mergeCells count="2">
    <mergeCell ref="A1:G1"/>
    <mergeCell ref="A18:L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5" customWidth="1" min="2" max="2"/>
    <col width="34" customWidth="1" min="3" max="3"/>
    <col width="24" customWidth="1" min="4" max="4"/>
    <col width="21" customWidth="1" min="5" max="5"/>
    <col width="34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5" t="inlineStr">
        <is>
          <t>MISTRAL SMALL 24B INSTRUCT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1,000,000 sq ft</t>
        </is>
      </c>
      <c r="C4" s="18" t="n">
        <v>2664200000</v>
      </c>
      <c r="D4" s="18" t="n">
        <v>100000000</v>
      </c>
      <c r="E4" s="17" t="inlineStr">
        <is>
          <t>1.38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Land Acquisition (50 Acres Greenfield)</t>
        </is>
      </c>
      <c r="C7" s="19" t="inlineStr">
        <is>
          <t>Turnkey Facility Infrastructure</t>
        </is>
      </c>
      <c r="D7" s="6" t="n">
        <v>10000000</v>
      </c>
      <c r="E7" s="20">
        <f>D7/$D$15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Building Shell ($300/sq ft @ 1M sq ft)</t>
        </is>
      </c>
      <c r="C8" s="19" t="inlineStr">
        <is>
          <t>Turnkey Facility Infrastructure</t>
        </is>
      </c>
      <c r="D8" s="6" t="n">
        <v>300000000</v>
      </c>
      <c r="E8" s="20">
        <f>D8/$D$15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Data Center Compute Infrastructure ($500/kW @ 2M kW)</t>
        </is>
      </c>
      <c r="C9" s="19" t="inlineStr">
        <is>
          <t>Turnkey Facility Infrastructure</t>
        </is>
      </c>
      <c r="D9" s="6" t="n">
        <v>1000000000</v>
      </c>
      <c r="E9" s="20">
        <f>D9/$D$15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Power Infrastructure ($300/kW @ 2M kW)</t>
        </is>
      </c>
      <c r="C10" s="19" t="inlineStr">
        <is>
          <t>Turnkey Facility Infrastructure</t>
        </is>
      </c>
      <c r="D10" s="6" t="n">
        <v>600000000</v>
      </c>
      <c r="E10" s="20">
        <f>D10/$D$15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Cooling Systems ($100/kW @ 2M kW)</t>
        </is>
      </c>
      <c r="C11" s="19" t="inlineStr">
        <is>
          <t>Turnkey Facility Infrastructure</t>
        </is>
      </c>
      <c r="D11" s="6" t="n">
        <v>200000000</v>
      </c>
      <c r="E11" s="20">
        <f>D11/$D$15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Security &amp; High-Speed Cabling</t>
        </is>
      </c>
      <c r="C12" s="19" t="inlineStr">
        <is>
          <t>Turnkey Facility Infrastructure</t>
        </is>
      </c>
      <c r="D12" s="6" t="n">
        <v>62000000</v>
      </c>
      <c r="E12" s="20">
        <f>D12/$D$15</f>
        <v/>
      </c>
      <c r="F12" s="5" t="inlineStr">
        <is>
          <t>Tier IV Specification Benchmark</t>
        </is>
      </c>
    </row>
    <row r="13" ht="20" customHeight="1">
      <c r="A13" s="19" t="n">
        <v>7</v>
      </c>
      <c r="B13" s="5" t="inlineStr">
        <is>
          <t>AI Hardware Accelerators &amp; Software Licensure</t>
        </is>
      </c>
      <c r="C13" s="19" t="inlineStr">
        <is>
          <t>Turnkey Facility Infrastructure</t>
        </is>
      </c>
      <c r="D13" s="6" t="n">
        <v>250000000</v>
      </c>
      <c r="E13" s="20">
        <f>D13/$D$15</f>
        <v/>
      </c>
      <c r="F13" s="5" t="inlineStr">
        <is>
          <t>Tier IV Specification Benchmark</t>
        </is>
      </c>
    </row>
    <row r="14" ht="20" customHeight="1">
      <c r="A14" s="19" t="n">
        <v>8</v>
      </c>
      <c r="B14" s="5" t="inlineStr">
        <is>
          <t>Contingency Reserve (10% Overrun Buffer)</t>
        </is>
      </c>
      <c r="C14" s="19" t="inlineStr">
        <is>
          <t>Turnkey Facility Infrastructure</t>
        </is>
      </c>
      <c r="D14" s="6" t="n">
        <v>242200000</v>
      </c>
      <c r="E14" s="20">
        <f>D14/$D$15</f>
        <v/>
      </c>
      <c r="F14" s="5" t="inlineStr">
        <is>
          <t>Tier IV Specification Benchmark</t>
        </is>
      </c>
    </row>
    <row r="15" ht="24" customHeight="1">
      <c r="B15" s="11" t="inlineStr">
        <is>
          <t>TOTAL MODELED CAPITAL EXPENDITURE</t>
        </is>
      </c>
      <c r="D15" s="12">
        <f>SUM(D7:D14)</f>
        <v/>
      </c>
      <c r="E15" s="21">
        <f>SUM(E7:E14)</f>
        <v/>
      </c>
    </row>
    <row r="16"/>
    <row r="17"/>
    <row r="18" ht="26" customHeight="1">
      <c r="A18" s="22" t="inlineStr">
        <is>
          <t>10-YEAR PRO-FORMA CASH FLOWS &amp; DEBT RETIREMENT ($USD)</t>
        </is>
      </c>
    </row>
    <row r="19" ht="22" customHeight="1">
      <c r="A19" s="3" t="inlineStr">
        <is>
          <t>Cash Flow Line Item</t>
        </is>
      </c>
      <c r="B19" s="3" t="inlineStr">
        <is>
          <t>Year 0</t>
        </is>
      </c>
      <c r="C19" s="3" t="inlineStr">
        <is>
          <t>Year 1</t>
        </is>
      </c>
      <c r="D19" s="3" t="inlineStr">
        <is>
          <t>Year 2</t>
        </is>
      </c>
      <c r="E19" s="3" t="inlineStr">
        <is>
          <t>Year 3</t>
        </is>
      </c>
      <c r="F19" s="3" t="inlineStr">
        <is>
          <t>Year 4</t>
        </is>
      </c>
      <c r="G19" s="3" t="inlineStr">
        <is>
          <t>Year 5</t>
        </is>
      </c>
      <c r="H19" s="3" t="inlineStr">
        <is>
          <t>Year 6</t>
        </is>
      </c>
      <c r="I19" s="3" t="inlineStr">
        <is>
          <t>Year 7</t>
        </is>
      </c>
      <c r="J19" s="3" t="inlineStr">
        <is>
          <t>Year 8</t>
        </is>
      </c>
      <c r="K19" s="3" t="inlineStr">
        <is>
          <t>Year 9</t>
        </is>
      </c>
      <c r="L19" s="3" t="inlineStr">
        <is>
          <t>Year 10</t>
        </is>
      </c>
    </row>
    <row r="20" ht="20" customHeight="1">
      <c r="A20" s="5" t="inlineStr">
        <is>
          <t>Gross Capacity Lease Revenue (Escalating 3% p.a.)</t>
        </is>
      </c>
      <c r="B20" s="23" t="n">
        <v>0</v>
      </c>
      <c r="C20" s="6" t="n">
        <v>1012396000</v>
      </c>
      <c r="D20" s="6" t="n">
        <v>1042767880</v>
      </c>
      <c r="E20" s="6" t="n">
        <v>1074050916.4</v>
      </c>
      <c r="F20" s="6" t="n">
        <v>1106272443.892</v>
      </c>
      <c r="G20" s="6" t="n">
        <v>1139460617.20876</v>
      </c>
      <c r="H20" s="6" t="n">
        <v>1173644435.725023</v>
      </c>
      <c r="I20" s="6" t="n">
        <v>1208853768.796774</v>
      </c>
      <c r="J20" s="6" t="n">
        <v>1245119381.860677</v>
      </c>
      <c r="K20" s="6" t="n">
        <v>1282472963.316497</v>
      </c>
      <c r="L20" s="6" t="n">
        <v>1320947152.215992</v>
      </c>
    </row>
    <row r="21" ht="20" customHeight="1">
      <c r="A21" s="5" t="inlineStr">
        <is>
          <t>Facility Operating Expenses (OpEx + Grid Tariff)</t>
        </is>
      </c>
      <c r="B21" s="23" t="n">
        <v>0</v>
      </c>
      <c r="C21" s="6" t="n">
        <v>100000000</v>
      </c>
      <c r="D21" s="6" t="n">
        <v>102500000</v>
      </c>
      <c r="E21" s="6" t="n">
        <v>105062500</v>
      </c>
      <c r="F21" s="6" t="n">
        <v>107689062.5</v>
      </c>
      <c r="G21" s="6" t="n">
        <v>110381289.0625</v>
      </c>
      <c r="H21" s="6" t="n">
        <v>113140821.2890624</v>
      </c>
      <c r="I21" s="6" t="n">
        <v>115969341.821289</v>
      </c>
      <c r="J21" s="6" t="n">
        <v>118868575.3668212</v>
      </c>
      <c r="K21" s="6" t="n">
        <v>121840289.7509917</v>
      </c>
      <c r="L21" s="6" t="n">
        <v>124886296.9947665</v>
      </c>
    </row>
    <row r="22" ht="20" customHeight="1">
      <c r="A22" s="4" t="inlineStr">
        <is>
          <t>Net Operating Income (NOI)</t>
        </is>
      </c>
      <c r="B22" s="24" t="inlineStr">
        <is>
          <t>-</t>
        </is>
      </c>
      <c r="C22" s="25">
        <f>C20-C21</f>
        <v/>
      </c>
      <c r="D22" s="25">
        <f>D20-D21</f>
        <v/>
      </c>
      <c r="E22" s="25">
        <f>E20-E21</f>
        <v/>
      </c>
      <c r="F22" s="25">
        <f>F20-F21</f>
        <v/>
      </c>
      <c r="G22" s="25">
        <f>G20-G21</f>
        <v/>
      </c>
      <c r="H22" s="25">
        <f>H20-H21</f>
        <v/>
      </c>
      <c r="I22" s="25">
        <f>I20-I21</f>
        <v/>
      </c>
      <c r="J22" s="25">
        <f>J20-J21</f>
        <v/>
      </c>
      <c r="K22" s="25">
        <f>K20-K21</f>
        <v/>
      </c>
      <c r="L22" s="25">
        <f>L20-L21</f>
        <v/>
      </c>
    </row>
    <row r="23" ht="20" customHeight="1">
      <c r="A23" s="5" t="inlineStr">
        <is>
          <t>Debt Service (P&amp;I 6.5% Amortized 15 Years)</t>
        </is>
      </c>
      <c r="B23" s="23" t="n">
        <v>0</v>
      </c>
      <c r="C23" s="6" t="n">
        <v>213136000</v>
      </c>
      <c r="D23" s="6" t="n">
        <v>213136000</v>
      </c>
      <c r="E23" s="6" t="n">
        <v>213136000</v>
      </c>
      <c r="F23" s="6" t="n">
        <v>213136000</v>
      </c>
      <c r="G23" s="6" t="n">
        <v>213136000</v>
      </c>
      <c r="H23" s="6" t="n">
        <v>213136000</v>
      </c>
      <c r="I23" s="6" t="n">
        <v>213136000</v>
      </c>
      <c r="J23" s="6" t="n">
        <v>213136000</v>
      </c>
      <c r="K23" s="6" t="n">
        <v>213136000</v>
      </c>
      <c r="L23" s="6" t="n">
        <v>213136000</v>
      </c>
    </row>
    <row r="24" ht="20" customHeight="1">
      <c r="A24" s="4" t="inlineStr">
        <is>
          <t>Free Cash Flow to Equity (FCFE)</t>
        </is>
      </c>
      <c r="B24" s="26">
        <f>-D15</f>
        <v/>
      </c>
      <c r="C24" s="25">
        <f>C22-C23</f>
        <v/>
      </c>
      <c r="D24" s="25">
        <f>D22-D23</f>
        <v/>
      </c>
      <c r="E24" s="25">
        <f>E22-E23</f>
        <v/>
      </c>
      <c r="F24" s="25">
        <f>F22-F23</f>
        <v/>
      </c>
      <c r="G24" s="25">
        <f>G22-G23</f>
        <v/>
      </c>
      <c r="H24" s="25">
        <f>H22-H23</f>
        <v/>
      </c>
      <c r="I24" s="25">
        <f>I22-I23</f>
        <v/>
      </c>
      <c r="J24" s="25">
        <f>J22-J23</f>
        <v/>
      </c>
      <c r="K24" s="25">
        <f>K22-K23</f>
        <v/>
      </c>
      <c r="L24" s="25">
        <f>L22-L23</f>
        <v/>
      </c>
    </row>
    <row r="25" ht="20" customHeight="1">
      <c r="A25" s="4" t="inlineStr">
        <is>
          <t>Cumulative Equity Position</t>
        </is>
      </c>
      <c r="B25" s="23">
        <f>B24</f>
        <v/>
      </c>
      <c r="C25" s="25">
        <f>B25+C24</f>
        <v/>
      </c>
      <c r="D25" s="25">
        <f>C25+D24</f>
        <v/>
      </c>
      <c r="E25" s="25">
        <f>D25+E24</f>
        <v/>
      </c>
      <c r="F25" s="25">
        <f>E25+F24</f>
        <v/>
      </c>
      <c r="G25" s="25">
        <f>F25+G24</f>
        <v/>
      </c>
      <c r="H25" s="25">
        <f>G25+H24</f>
        <v/>
      </c>
      <c r="I25" s="25">
        <f>H25+I24</f>
        <v/>
      </c>
      <c r="J25" s="25">
        <f>I25+J24</f>
        <v/>
      </c>
      <c r="K25" s="25">
        <f>J25+K24</f>
        <v/>
      </c>
      <c r="L25" s="25">
        <f>K25+L24</f>
        <v/>
      </c>
    </row>
  </sheetData>
  <mergeCells count="2">
    <mergeCell ref="A1:G1"/>
    <mergeCell ref="A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3" customWidth="1" min="2" max="2"/>
    <col width="34" customWidth="1" min="3" max="3"/>
    <col width="24" customWidth="1" min="4" max="4"/>
    <col width="21" customWidth="1" min="5" max="5"/>
    <col width="34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5" t="inlineStr">
        <is>
          <t>CERBERUS 4B V2 ABLITERATED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2,000,000 sq ft</t>
        </is>
      </c>
      <c r="C4" s="18" t="n">
        <v>2500000000</v>
      </c>
      <c r="D4" s="18" t="n">
        <v>210000000</v>
      </c>
      <c r="E4" s="17" t="inlineStr">
        <is>
          <t>56.54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Site Acquisition &amp; Strategic Water Rights (ERCOT)</t>
        </is>
      </c>
      <c r="C7" s="19" t="inlineStr">
        <is>
          <t>Turnkey Facility Infrastructure</t>
        </is>
      </c>
      <c r="D7" s="6" t="n">
        <v>80000000</v>
      </c>
      <c r="E7" s="20">
        <f>D7/$D$13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Reinforced Structural Hardening &amp; Thermal Envelope</t>
        </is>
      </c>
      <c r="C8" s="19" t="inlineStr">
        <is>
          <t>Turnkey Facility Infrastructure</t>
        </is>
      </c>
      <c r="D8" s="6" t="n">
        <v>420000000</v>
      </c>
      <c r="E8" s="20">
        <f>D8/$D$13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Substation &amp; Dual-Grid High Voltage Infeeds</t>
        </is>
      </c>
      <c r="C9" s="19" t="inlineStr">
        <is>
          <t>Turnkey Facility Infrastructure</t>
        </is>
      </c>
      <c r="D9" s="6" t="n">
        <v>1100000000</v>
      </c>
      <c r="E9" s="20">
        <f>D9/$D$13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Two-Phase Liquid Immersion Cooling Plant</t>
        </is>
      </c>
      <c r="C10" s="19" t="inlineStr">
        <is>
          <t>Turnkey Facility Infrastructure</t>
        </is>
      </c>
      <c r="D10" s="6" t="n">
        <v>450000000</v>
      </c>
      <c r="E10" s="20">
        <f>D10/$D$13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Spine-Leaf Optical Compute Matrix</t>
        </is>
      </c>
      <c r="C11" s="19" t="inlineStr">
        <is>
          <t>Turnkey Facility Infrastructure</t>
        </is>
      </c>
      <c r="D11" s="6" t="n">
        <v>300000000</v>
      </c>
      <c r="E11" s="20">
        <f>D11/$D$13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Contingency Buffer &amp; Project Management</t>
        </is>
      </c>
      <c r="C12" s="19" t="inlineStr">
        <is>
          <t>Turnkey Facility Infrastructure</t>
        </is>
      </c>
      <c r="D12" s="6" t="n">
        <v>150000000</v>
      </c>
      <c r="E12" s="20">
        <f>D12/$D$13</f>
        <v/>
      </c>
      <c r="F12" s="5" t="inlineStr">
        <is>
          <t>Tier IV Specification Benchmark</t>
        </is>
      </c>
    </row>
    <row r="13" ht="24" customHeight="1">
      <c r="B13" s="11" t="inlineStr">
        <is>
          <t>TOTAL MODELED CAPITAL EXPENDITURE</t>
        </is>
      </c>
      <c r="D13" s="12">
        <f>SUM(D7:D12)</f>
        <v/>
      </c>
      <c r="E13" s="21">
        <f>SUM(E7:E12)</f>
        <v/>
      </c>
    </row>
    <row r="14"/>
    <row r="15"/>
    <row r="16" ht="26" customHeight="1">
      <c r="A16" s="22" t="inlineStr">
        <is>
          <t>10-YEAR PRO-FORMA CASH FLOWS &amp; DEBT RETIREMENT ($USD)</t>
        </is>
      </c>
    </row>
    <row r="17" ht="22" customHeight="1">
      <c r="A17" s="3" t="inlineStr">
        <is>
          <t>Cash Flow Line Item</t>
        </is>
      </c>
      <c r="B17" s="3" t="inlineStr">
        <is>
          <t>Year 0</t>
        </is>
      </c>
      <c r="C17" s="3" t="inlineStr">
        <is>
          <t>Year 1</t>
        </is>
      </c>
      <c r="D17" s="3" t="inlineStr">
        <is>
          <t>Year 2</t>
        </is>
      </c>
      <c r="E17" s="3" t="inlineStr">
        <is>
          <t>Year 3</t>
        </is>
      </c>
      <c r="F17" s="3" t="inlineStr">
        <is>
          <t>Year 4</t>
        </is>
      </c>
      <c r="G17" s="3" t="inlineStr">
        <is>
          <t>Year 5</t>
        </is>
      </c>
      <c r="H17" s="3" t="inlineStr">
        <is>
          <t>Year 6</t>
        </is>
      </c>
      <c r="I17" s="3" t="inlineStr">
        <is>
          <t>Year 7</t>
        </is>
      </c>
      <c r="J17" s="3" t="inlineStr">
        <is>
          <t>Year 8</t>
        </is>
      </c>
      <c r="K17" s="3" t="inlineStr">
        <is>
          <t>Year 9</t>
        </is>
      </c>
      <c r="L17" s="3" t="inlineStr">
        <is>
          <t>Year 10</t>
        </is>
      </c>
    </row>
    <row r="18" ht="20" customHeight="1">
      <c r="A18" s="5" t="inlineStr">
        <is>
          <t>Gross Capacity Lease Revenue (Escalating 3% p.a.)</t>
        </is>
      </c>
      <c r="B18" s="23" t="n">
        <v>0</v>
      </c>
      <c r="C18" s="6" t="n">
        <v>950000000</v>
      </c>
      <c r="D18" s="6" t="n">
        <v>978500000</v>
      </c>
      <c r="E18" s="6" t="n">
        <v>1007855000</v>
      </c>
      <c r="F18" s="6" t="n">
        <v>1038090650</v>
      </c>
      <c r="G18" s="6" t="n">
        <v>1069233369.5</v>
      </c>
      <c r="H18" s="6" t="n">
        <v>1101310370.585</v>
      </c>
      <c r="I18" s="6" t="n">
        <v>1134349681.70255</v>
      </c>
      <c r="J18" s="6" t="n">
        <v>1168380172.153627</v>
      </c>
      <c r="K18" s="6" t="n">
        <v>1203431577.318236</v>
      </c>
      <c r="L18" s="6" t="n">
        <v>1239534524.637783</v>
      </c>
    </row>
    <row r="19" ht="20" customHeight="1">
      <c r="A19" s="5" t="inlineStr">
        <is>
          <t>Facility Operating Expenses (OpEx + Grid Tariff)</t>
        </is>
      </c>
      <c r="B19" s="23" t="n">
        <v>0</v>
      </c>
      <c r="C19" s="6" t="n">
        <v>210000000</v>
      </c>
      <c r="D19" s="6" t="n">
        <v>215250000</v>
      </c>
      <c r="E19" s="6" t="n">
        <v>220631250</v>
      </c>
      <c r="F19" s="6" t="n">
        <v>226147031.2499999</v>
      </c>
      <c r="G19" s="6" t="n">
        <v>231800707.0312499</v>
      </c>
      <c r="H19" s="6" t="n">
        <v>237595724.7070311</v>
      </c>
      <c r="I19" s="6" t="n">
        <v>243535617.8247069</v>
      </c>
      <c r="J19" s="6" t="n">
        <v>249624008.2703246</v>
      </c>
      <c r="K19" s="6" t="n">
        <v>255864608.4770826</v>
      </c>
      <c r="L19" s="6" t="n">
        <v>262261223.6890097</v>
      </c>
    </row>
    <row r="20" ht="20" customHeight="1">
      <c r="A20" s="4" t="inlineStr">
        <is>
          <t>Net Operating Income (NOI)</t>
        </is>
      </c>
      <c r="B20" s="24" t="inlineStr">
        <is>
          <t>-</t>
        </is>
      </c>
      <c r="C20" s="25">
        <f>C18-C19</f>
        <v/>
      </c>
      <c r="D20" s="25">
        <f>D18-D19</f>
        <v/>
      </c>
      <c r="E20" s="25">
        <f>E18-E19</f>
        <v/>
      </c>
      <c r="F20" s="25">
        <f>F18-F19</f>
        <v/>
      </c>
      <c r="G20" s="25">
        <f>G18-G19</f>
        <v/>
      </c>
      <c r="H20" s="25">
        <f>H18-H19</f>
        <v/>
      </c>
      <c r="I20" s="25">
        <f>I18-I19</f>
        <v/>
      </c>
      <c r="J20" s="25">
        <f>J18-J19</f>
        <v/>
      </c>
      <c r="K20" s="25">
        <f>K18-K19</f>
        <v/>
      </c>
      <c r="L20" s="25">
        <f>L18-L19</f>
        <v/>
      </c>
    </row>
    <row r="21" ht="20" customHeight="1">
      <c r="A21" s="5" t="inlineStr">
        <is>
          <t>Debt Service (P&amp;I 6.5% Amortized 15 Years)</t>
        </is>
      </c>
      <c r="B21" s="23" t="n">
        <v>0</v>
      </c>
      <c r="C21" s="6" t="n">
        <v>200000000</v>
      </c>
      <c r="D21" s="6" t="n">
        <v>200000000</v>
      </c>
      <c r="E21" s="6" t="n">
        <v>200000000</v>
      </c>
      <c r="F21" s="6" t="n">
        <v>200000000</v>
      </c>
      <c r="G21" s="6" t="n">
        <v>200000000</v>
      </c>
      <c r="H21" s="6" t="n">
        <v>200000000</v>
      </c>
      <c r="I21" s="6" t="n">
        <v>200000000</v>
      </c>
      <c r="J21" s="6" t="n">
        <v>200000000</v>
      </c>
      <c r="K21" s="6" t="n">
        <v>200000000</v>
      </c>
      <c r="L21" s="6" t="n">
        <v>200000000</v>
      </c>
    </row>
    <row r="22" ht="20" customHeight="1">
      <c r="A22" s="4" t="inlineStr">
        <is>
          <t>Free Cash Flow to Equity (FCFE)</t>
        </is>
      </c>
      <c r="B22" s="26">
        <f>-D13</f>
        <v/>
      </c>
      <c r="C22" s="25">
        <f>C20-C21</f>
        <v/>
      </c>
      <c r="D22" s="25">
        <f>D20-D21</f>
        <v/>
      </c>
      <c r="E22" s="25">
        <f>E20-E21</f>
        <v/>
      </c>
      <c r="F22" s="25">
        <f>F20-F21</f>
        <v/>
      </c>
      <c r="G22" s="25">
        <f>G20-G21</f>
        <v/>
      </c>
      <c r="H22" s="25">
        <f>H20-H21</f>
        <v/>
      </c>
      <c r="I22" s="25">
        <f>I20-I21</f>
        <v/>
      </c>
      <c r="J22" s="25">
        <f>J20-J21</f>
        <v/>
      </c>
      <c r="K22" s="25">
        <f>K20-K21</f>
        <v/>
      </c>
      <c r="L22" s="25">
        <f>L20-L21</f>
        <v/>
      </c>
    </row>
    <row r="23" ht="20" customHeight="1">
      <c r="A23" s="4" t="inlineStr">
        <is>
          <t>Cumulative Equity Position</t>
        </is>
      </c>
      <c r="B23" s="23">
        <f>B22</f>
        <v/>
      </c>
      <c r="C23" s="25">
        <f>B23+C22</f>
        <v/>
      </c>
      <c r="D23" s="25">
        <f>C23+D22</f>
        <v/>
      </c>
      <c r="E23" s="25">
        <f>D23+E22</f>
        <v/>
      </c>
      <c r="F23" s="25">
        <f>E23+F22</f>
        <v/>
      </c>
      <c r="G23" s="25">
        <f>F23+G22</f>
        <v/>
      </c>
      <c r="H23" s="25">
        <f>G23+H22</f>
        <v/>
      </c>
      <c r="I23" s="25">
        <f>H23+I22</f>
        <v/>
      </c>
      <c r="J23" s="25">
        <f>I23+J22</f>
        <v/>
      </c>
      <c r="K23" s="25">
        <f>J23+K22</f>
        <v/>
      </c>
      <c r="L23" s="25">
        <f>K23+L22</f>
        <v/>
      </c>
    </row>
  </sheetData>
  <mergeCells count="2">
    <mergeCell ref="A16:L1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8" customWidth="1" min="2" max="2"/>
    <col width="34" customWidth="1" min="3" max="3"/>
    <col width="24" customWidth="1" min="4" max="4"/>
    <col width="21" customWidth="1" min="5" max="5"/>
    <col width="34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5" t="inlineStr">
        <is>
          <t>DEEPSEEK R1 DISTILL QWEN 14B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1,000,000 sq ft</t>
        </is>
      </c>
      <c r="C4" s="18" t="n">
        <v>962500000</v>
      </c>
      <c r="D4" s="18" t="n">
        <v>100000000</v>
      </c>
      <c r="E4" s="17" t="inlineStr">
        <is>
          <t>3.44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Dallas-Fort Worth Land Acquisition (50 Acres)</t>
        </is>
      </c>
      <c r="C7" s="19" t="inlineStr">
        <is>
          <t>Turnkey Facility Infrastructure</t>
        </is>
      </c>
      <c r="D7" s="6" t="n">
        <v>15000000</v>
      </c>
      <c r="E7" s="20">
        <f>D7/$D$14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Tier IV Building Construction ($350/sq ft)</t>
        </is>
      </c>
      <c r="C8" s="19" t="inlineStr">
        <is>
          <t>Turnkey Facility Infrastructure</t>
        </is>
      </c>
      <c r="D8" s="6" t="n">
        <v>350000000</v>
      </c>
      <c r="E8" s="20">
        <f>D8/$D$14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Power Distribution &amp; Chiller Systems</t>
        </is>
      </c>
      <c r="C9" s="19" t="inlineStr">
        <is>
          <t>Turnkey Facility Infrastructure</t>
        </is>
      </c>
      <c r="D9" s="6" t="n">
        <v>150000000</v>
      </c>
      <c r="E9" s="20">
        <f>D9/$D$14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High-Performance Servers &amp; Networking</t>
        </is>
      </c>
      <c r="C10" s="19" t="inlineStr">
        <is>
          <t>Turnkey Facility Infrastructure</t>
        </is>
      </c>
      <c r="D10" s="6" t="n">
        <v>250000000</v>
      </c>
      <c r="E10" s="20">
        <f>D10/$D$14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Permits, Environmental &amp; Training Programs</t>
        </is>
      </c>
      <c r="C11" s="19" t="inlineStr">
        <is>
          <t>Turnkey Facility Infrastructure</t>
        </is>
      </c>
      <c r="D11" s="6" t="n">
        <v>40000000</v>
      </c>
      <c r="E11" s="20">
        <f>D11/$D$14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Contingency Reserve (10%)</t>
        </is>
      </c>
      <c r="C12" s="19" t="inlineStr">
        <is>
          <t>Turnkey Facility Infrastructure</t>
        </is>
      </c>
      <c r="D12" s="6" t="n">
        <v>70000000</v>
      </c>
      <c r="E12" s="20">
        <f>D12/$D$14</f>
        <v/>
      </c>
      <c r="F12" s="5" t="inlineStr">
        <is>
          <t>Tier IV Specification Benchmark</t>
        </is>
      </c>
    </row>
    <row r="13" ht="20" customHeight="1">
      <c r="A13" s="19" t="n">
        <v>7</v>
      </c>
      <c r="B13" s="5" t="inlineStr">
        <is>
          <t>5-Year Cumulative Operating Reserve</t>
        </is>
      </c>
      <c r="C13" s="19" t="inlineStr">
        <is>
          <t>Turnkey Facility Infrastructure</t>
        </is>
      </c>
      <c r="D13" s="6" t="n">
        <v>500000000</v>
      </c>
      <c r="E13" s="20">
        <f>D13/$D$14</f>
        <v/>
      </c>
      <c r="F13" s="5" t="inlineStr">
        <is>
          <t>Tier IV Specification Benchmark</t>
        </is>
      </c>
    </row>
    <row r="14" ht="24" customHeight="1">
      <c r="B14" s="11" t="inlineStr">
        <is>
          <t>TOTAL MODELED CAPITAL EXPENDITURE</t>
        </is>
      </c>
      <c r="D14" s="12">
        <f>SUM(D7:D13)</f>
        <v/>
      </c>
      <c r="E14" s="21">
        <f>SUM(E7:E13)</f>
        <v/>
      </c>
    </row>
    <row r="15"/>
    <row r="16"/>
    <row r="17" ht="26" customHeight="1">
      <c r="A17" s="22" t="inlineStr">
        <is>
          <t>10-YEAR PRO-FORMA CASH FLOWS &amp; DEBT RETIREMENT ($USD)</t>
        </is>
      </c>
    </row>
    <row r="18" ht="22" customHeight="1">
      <c r="A18" s="3" t="inlineStr">
        <is>
          <t>Cash Flow Line Item</t>
        </is>
      </c>
      <c r="B18" s="3" t="inlineStr">
        <is>
          <t>Year 0</t>
        </is>
      </c>
      <c r="C18" s="3" t="inlineStr">
        <is>
          <t>Year 1</t>
        </is>
      </c>
      <c r="D18" s="3" t="inlineStr">
        <is>
          <t>Year 2</t>
        </is>
      </c>
      <c r="E18" s="3" t="inlineStr">
        <is>
          <t>Year 3</t>
        </is>
      </c>
      <c r="F18" s="3" t="inlineStr">
        <is>
          <t>Year 4</t>
        </is>
      </c>
      <c r="G18" s="3" t="inlineStr">
        <is>
          <t>Year 5</t>
        </is>
      </c>
      <c r="H18" s="3" t="inlineStr">
        <is>
          <t>Year 6</t>
        </is>
      </c>
      <c r="I18" s="3" t="inlineStr">
        <is>
          <t>Year 7</t>
        </is>
      </c>
      <c r="J18" s="3" t="inlineStr">
        <is>
          <t>Year 8</t>
        </is>
      </c>
      <c r="K18" s="3" t="inlineStr">
        <is>
          <t>Year 9</t>
        </is>
      </c>
      <c r="L18" s="3" t="inlineStr">
        <is>
          <t>Year 10</t>
        </is>
      </c>
    </row>
    <row r="19" ht="20" customHeight="1">
      <c r="A19" s="5" t="inlineStr">
        <is>
          <t>Gross Capacity Lease Revenue (Escalating 3% p.a.)</t>
        </is>
      </c>
      <c r="B19" s="23" t="n">
        <v>0</v>
      </c>
      <c r="C19" s="6" t="n">
        <v>365750000</v>
      </c>
      <c r="D19" s="6" t="n">
        <v>376722500</v>
      </c>
      <c r="E19" s="6" t="n">
        <v>388024175</v>
      </c>
      <c r="F19" s="6" t="n">
        <v>399664900.25</v>
      </c>
      <c r="G19" s="6" t="n">
        <v>411654847.2575001</v>
      </c>
      <c r="H19" s="6" t="n">
        <v>424004492.675225</v>
      </c>
      <c r="I19" s="6" t="n">
        <v>436724627.4554818</v>
      </c>
      <c r="J19" s="6" t="n">
        <v>449826366.2791463</v>
      </c>
      <c r="K19" s="6" t="n">
        <v>463321157.2675207</v>
      </c>
      <c r="L19" s="6" t="n">
        <v>477220791.9855464</v>
      </c>
    </row>
    <row r="20" ht="20" customHeight="1">
      <c r="A20" s="5" t="inlineStr">
        <is>
          <t>Facility Operating Expenses (OpEx + Grid Tariff)</t>
        </is>
      </c>
      <c r="B20" s="23" t="n">
        <v>0</v>
      </c>
      <c r="C20" s="6" t="n">
        <v>100000000</v>
      </c>
      <c r="D20" s="6" t="n">
        <v>102500000</v>
      </c>
      <c r="E20" s="6" t="n">
        <v>105062500</v>
      </c>
      <c r="F20" s="6" t="n">
        <v>107689062.5</v>
      </c>
      <c r="G20" s="6" t="n">
        <v>110381289.0625</v>
      </c>
      <c r="H20" s="6" t="n">
        <v>113140821.2890624</v>
      </c>
      <c r="I20" s="6" t="n">
        <v>115969341.821289</v>
      </c>
      <c r="J20" s="6" t="n">
        <v>118868575.3668212</v>
      </c>
      <c r="K20" s="6" t="n">
        <v>121840289.7509917</v>
      </c>
      <c r="L20" s="6" t="n">
        <v>124886296.9947665</v>
      </c>
    </row>
    <row r="21" ht="20" customHeight="1">
      <c r="A21" s="4" t="inlineStr">
        <is>
          <t>Net Operating Income (NOI)</t>
        </is>
      </c>
      <c r="B21" s="24" t="inlineStr">
        <is>
          <t>-</t>
        </is>
      </c>
      <c r="C21" s="25">
        <f>C19-C20</f>
        <v/>
      </c>
      <c r="D21" s="25">
        <f>D19-D20</f>
        <v/>
      </c>
      <c r="E21" s="25">
        <f>E19-E20</f>
        <v/>
      </c>
      <c r="F21" s="25">
        <f>F19-F20</f>
        <v/>
      </c>
      <c r="G21" s="25">
        <f>G19-G20</f>
        <v/>
      </c>
      <c r="H21" s="25">
        <f>H19-H20</f>
        <v/>
      </c>
      <c r="I21" s="25">
        <f>I19-I20</f>
        <v/>
      </c>
      <c r="J21" s="25">
        <f>J19-J20</f>
        <v/>
      </c>
      <c r="K21" s="25">
        <f>K19-K20</f>
        <v/>
      </c>
      <c r="L21" s="25">
        <f>L19-L20</f>
        <v/>
      </c>
    </row>
    <row r="22" ht="20" customHeight="1">
      <c r="A22" s="5" t="inlineStr">
        <is>
          <t>Debt Service (P&amp;I 6.5% Amortized 15 Years)</t>
        </is>
      </c>
      <c r="B22" s="23" t="n">
        <v>0</v>
      </c>
      <c r="C22" s="6" t="n">
        <v>77000000</v>
      </c>
      <c r="D22" s="6" t="n">
        <v>77000000</v>
      </c>
      <c r="E22" s="6" t="n">
        <v>77000000</v>
      </c>
      <c r="F22" s="6" t="n">
        <v>77000000</v>
      </c>
      <c r="G22" s="6" t="n">
        <v>77000000</v>
      </c>
      <c r="H22" s="6" t="n">
        <v>77000000</v>
      </c>
      <c r="I22" s="6" t="n">
        <v>77000000</v>
      </c>
      <c r="J22" s="6" t="n">
        <v>77000000</v>
      </c>
      <c r="K22" s="6" t="n">
        <v>77000000</v>
      </c>
      <c r="L22" s="6" t="n">
        <v>77000000</v>
      </c>
    </row>
    <row r="23" ht="20" customHeight="1">
      <c r="A23" s="4" t="inlineStr">
        <is>
          <t>Free Cash Flow to Equity (FCFE)</t>
        </is>
      </c>
      <c r="B23" s="26">
        <f>-D14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</row>
    <row r="24" ht="20" customHeight="1">
      <c r="A24" s="4" t="inlineStr">
        <is>
          <t>Cumulative Equity Position</t>
        </is>
      </c>
      <c r="B24" s="23">
        <f>B23</f>
        <v/>
      </c>
      <c r="C24" s="25">
        <f>B24+C23</f>
        <v/>
      </c>
      <c r="D24" s="25">
        <f>C24+D23</f>
        <v/>
      </c>
      <c r="E24" s="25">
        <f>D24+E23</f>
        <v/>
      </c>
      <c r="F24" s="25">
        <f>E24+F23</f>
        <v/>
      </c>
      <c r="G24" s="25">
        <f>F24+G23</f>
        <v/>
      </c>
      <c r="H24" s="25">
        <f>G24+H23</f>
        <v/>
      </c>
      <c r="I24" s="25">
        <f>H24+I23</f>
        <v/>
      </c>
      <c r="J24" s="25">
        <f>I24+J23</f>
        <v/>
      </c>
      <c r="K24" s="25">
        <f>J24+K23</f>
        <v/>
      </c>
      <c r="L24" s="25">
        <f>K24+L23</f>
        <v/>
      </c>
    </row>
  </sheetData>
  <mergeCells count="2">
    <mergeCell ref="A1:G1"/>
    <mergeCell ref="A17:L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40" customWidth="1" min="2" max="2"/>
    <col width="34" customWidth="1" min="3" max="3"/>
    <col width="24" customWidth="1" min="4" max="4"/>
    <col width="19" customWidth="1" min="5" max="5"/>
    <col width="34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5" t="inlineStr">
        <is>
          <t>CERBERUS V0.1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800,000 sq ft</t>
        </is>
      </c>
      <c r="C4" s="18" t="n">
        <v>625000000</v>
      </c>
      <c r="D4" s="18" t="n">
        <v>85000000</v>
      </c>
      <c r="E4" s="17" t="inlineStr">
        <is>
          <t>0.75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Greenfield Site Land Acquisition</t>
        </is>
      </c>
      <c r="C7" s="19" t="inlineStr">
        <is>
          <t>Turnkey Facility Infrastructure</t>
        </is>
      </c>
      <c r="D7" s="6" t="n">
        <v>10000000</v>
      </c>
      <c r="E7" s="20">
        <f>D7/$D$13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Site Grading &amp; Utilities Installation</t>
        </is>
      </c>
      <c r="C8" s="19" t="inlineStr">
        <is>
          <t>Turnkey Facility Infrastructure</t>
        </is>
      </c>
      <c r="D8" s="6" t="n">
        <v>5000000</v>
      </c>
      <c r="E8" s="20">
        <f>D8/$D$13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Shell Building Construction</t>
        </is>
      </c>
      <c r="C9" s="19" t="inlineStr">
        <is>
          <t>Turnkey Facility Infrastructure</t>
        </is>
      </c>
      <c r="D9" s="6" t="n">
        <v>30000000</v>
      </c>
      <c r="E9" s="20">
        <f>D9/$D$13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Core Mechanical &amp; Electrical Systems</t>
        </is>
      </c>
      <c r="C10" s="19" t="inlineStr">
        <is>
          <t>Turnkey Facility Infrastructure</t>
        </is>
      </c>
      <c r="D10" s="6" t="n">
        <v>450000000</v>
      </c>
      <c r="E10" s="20">
        <f>D10/$D$13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Commissioning &amp; Fit-Out</t>
        </is>
      </c>
      <c r="C11" s="19" t="inlineStr">
        <is>
          <t>Turnkey Facility Infrastructure</t>
        </is>
      </c>
      <c r="D11" s="6" t="n">
        <v>110000000</v>
      </c>
      <c r="E11" s="20">
        <f>D11/$D$13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Contingency Funds</t>
        </is>
      </c>
      <c r="C12" s="19" t="inlineStr">
        <is>
          <t>Turnkey Facility Infrastructure</t>
        </is>
      </c>
      <c r="D12" s="6" t="n">
        <v>20000000</v>
      </c>
      <c r="E12" s="20">
        <f>D12/$D$13</f>
        <v/>
      </c>
      <c r="F12" s="5" t="inlineStr">
        <is>
          <t>Tier IV Specification Benchmark</t>
        </is>
      </c>
    </row>
    <row r="13" ht="24" customHeight="1">
      <c r="B13" s="11" t="inlineStr">
        <is>
          <t>TOTAL MODELED CAPITAL EXPENDITURE</t>
        </is>
      </c>
      <c r="D13" s="12">
        <f>SUM(D7:D12)</f>
        <v/>
      </c>
      <c r="E13" s="21">
        <f>SUM(E7:E12)</f>
        <v/>
      </c>
    </row>
    <row r="14"/>
    <row r="15"/>
    <row r="16" ht="26" customHeight="1">
      <c r="A16" s="22" t="inlineStr">
        <is>
          <t>10-YEAR PRO-FORMA CASH FLOWS &amp; DEBT RETIREMENT ($USD)</t>
        </is>
      </c>
    </row>
    <row r="17" ht="22" customHeight="1">
      <c r="A17" s="3" t="inlineStr">
        <is>
          <t>Cash Flow Line Item</t>
        </is>
      </c>
      <c r="B17" s="3" t="inlineStr">
        <is>
          <t>Year 0</t>
        </is>
      </c>
      <c r="C17" s="3" t="inlineStr">
        <is>
          <t>Year 1</t>
        </is>
      </c>
      <c r="D17" s="3" t="inlineStr">
        <is>
          <t>Year 2</t>
        </is>
      </c>
      <c r="E17" s="3" t="inlineStr">
        <is>
          <t>Year 3</t>
        </is>
      </c>
      <c r="F17" s="3" t="inlineStr">
        <is>
          <t>Year 4</t>
        </is>
      </c>
      <c r="G17" s="3" t="inlineStr">
        <is>
          <t>Year 5</t>
        </is>
      </c>
      <c r="H17" s="3" t="inlineStr">
        <is>
          <t>Year 6</t>
        </is>
      </c>
      <c r="I17" s="3" t="inlineStr">
        <is>
          <t>Year 7</t>
        </is>
      </c>
      <c r="J17" s="3" t="inlineStr">
        <is>
          <t>Year 8</t>
        </is>
      </c>
      <c r="K17" s="3" t="inlineStr">
        <is>
          <t>Year 9</t>
        </is>
      </c>
      <c r="L17" s="3" t="inlineStr">
        <is>
          <t>Year 10</t>
        </is>
      </c>
    </row>
    <row r="18" ht="20" customHeight="1">
      <c r="A18" s="5" t="inlineStr">
        <is>
          <t>Gross Capacity Lease Revenue (Escalating 3% p.a.)</t>
        </is>
      </c>
      <c r="B18" s="23" t="n">
        <v>0</v>
      </c>
      <c r="C18" s="6" t="n">
        <v>237500000</v>
      </c>
      <c r="D18" s="6" t="n">
        <v>244625000</v>
      </c>
      <c r="E18" s="6" t="n">
        <v>251963750</v>
      </c>
      <c r="F18" s="6" t="n">
        <v>259522662.5</v>
      </c>
      <c r="G18" s="6" t="n">
        <v>267308342.375</v>
      </c>
      <c r="H18" s="6" t="n">
        <v>275327592.64625</v>
      </c>
      <c r="I18" s="6" t="n">
        <v>283587420.4256375</v>
      </c>
      <c r="J18" s="6" t="n">
        <v>292095043.0384067</v>
      </c>
      <c r="K18" s="6" t="n">
        <v>300857894.3295589</v>
      </c>
      <c r="L18" s="6" t="n">
        <v>309883631.1594456</v>
      </c>
    </row>
    <row r="19" ht="20" customHeight="1">
      <c r="A19" s="5" t="inlineStr">
        <is>
          <t>Facility Operating Expenses (OpEx + Grid Tariff)</t>
        </is>
      </c>
      <c r="B19" s="23" t="n">
        <v>0</v>
      </c>
      <c r="C19" s="6" t="n">
        <v>85000000</v>
      </c>
      <c r="D19" s="6" t="n">
        <v>87124999.99999999</v>
      </c>
      <c r="E19" s="6" t="n">
        <v>89303125</v>
      </c>
      <c r="F19" s="6" t="n">
        <v>91535703.12499997</v>
      </c>
      <c r="G19" s="6" t="n">
        <v>93824095.70312496</v>
      </c>
      <c r="H19" s="6" t="n">
        <v>96169698.09570308</v>
      </c>
      <c r="I19" s="6" t="n">
        <v>98573940.54809564</v>
      </c>
      <c r="J19" s="6" t="n">
        <v>101038289.061798</v>
      </c>
      <c r="K19" s="6" t="n">
        <v>103564246.288343</v>
      </c>
      <c r="L19" s="6" t="n">
        <v>106153352.4455515</v>
      </c>
    </row>
    <row r="20" ht="20" customHeight="1">
      <c r="A20" s="4" t="inlineStr">
        <is>
          <t>Net Operating Income (NOI)</t>
        </is>
      </c>
      <c r="B20" s="24" t="inlineStr">
        <is>
          <t>-</t>
        </is>
      </c>
      <c r="C20" s="25">
        <f>C18-C19</f>
        <v/>
      </c>
      <c r="D20" s="25">
        <f>D18-D19</f>
        <v/>
      </c>
      <c r="E20" s="25">
        <f>E18-E19</f>
        <v/>
      </c>
      <c r="F20" s="25">
        <f>F18-F19</f>
        <v/>
      </c>
      <c r="G20" s="25">
        <f>G18-G19</f>
        <v/>
      </c>
      <c r="H20" s="25">
        <f>H18-H19</f>
        <v/>
      </c>
      <c r="I20" s="25">
        <f>I18-I19</f>
        <v/>
      </c>
      <c r="J20" s="25">
        <f>J18-J19</f>
        <v/>
      </c>
      <c r="K20" s="25">
        <f>K18-K19</f>
        <v/>
      </c>
      <c r="L20" s="25">
        <f>L18-L19</f>
        <v/>
      </c>
    </row>
    <row r="21" ht="20" customHeight="1">
      <c r="A21" s="5" t="inlineStr">
        <is>
          <t>Debt Service (P&amp;I 6.5% Amortized 15 Years)</t>
        </is>
      </c>
      <c r="B21" s="23" t="n">
        <v>0</v>
      </c>
      <c r="C21" s="6" t="n">
        <v>50000000</v>
      </c>
      <c r="D21" s="6" t="n">
        <v>50000000</v>
      </c>
      <c r="E21" s="6" t="n">
        <v>50000000</v>
      </c>
      <c r="F21" s="6" t="n">
        <v>50000000</v>
      </c>
      <c r="G21" s="6" t="n">
        <v>50000000</v>
      </c>
      <c r="H21" s="6" t="n">
        <v>50000000</v>
      </c>
      <c r="I21" s="6" t="n">
        <v>50000000</v>
      </c>
      <c r="J21" s="6" t="n">
        <v>50000000</v>
      </c>
      <c r="K21" s="6" t="n">
        <v>50000000</v>
      </c>
      <c r="L21" s="6" t="n">
        <v>50000000</v>
      </c>
    </row>
    <row r="22" ht="20" customHeight="1">
      <c r="A22" s="4" t="inlineStr">
        <is>
          <t>Free Cash Flow to Equity (FCFE)</t>
        </is>
      </c>
      <c r="B22" s="26">
        <f>-D13</f>
        <v/>
      </c>
      <c r="C22" s="25">
        <f>C20-C21</f>
        <v/>
      </c>
      <c r="D22" s="25">
        <f>D20-D21</f>
        <v/>
      </c>
      <c r="E22" s="25">
        <f>E20-E21</f>
        <v/>
      </c>
      <c r="F22" s="25">
        <f>F20-F21</f>
        <v/>
      </c>
      <c r="G22" s="25">
        <f>G20-G21</f>
        <v/>
      </c>
      <c r="H22" s="25">
        <f>H20-H21</f>
        <v/>
      </c>
      <c r="I22" s="25">
        <f>I20-I21</f>
        <v/>
      </c>
      <c r="J22" s="25">
        <f>J20-J21</f>
        <v/>
      </c>
      <c r="K22" s="25">
        <f>K20-K21</f>
        <v/>
      </c>
      <c r="L22" s="25">
        <f>L20-L21</f>
        <v/>
      </c>
    </row>
    <row r="23" ht="20" customHeight="1">
      <c r="A23" s="4" t="inlineStr">
        <is>
          <t>Cumulative Equity Position</t>
        </is>
      </c>
      <c r="B23" s="23">
        <f>B22</f>
        <v/>
      </c>
      <c r="C23" s="25">
        <f>B23+C22</f>
        <v/>
      </c>
      <c r="D23" s="25">
        <f>C23+D22</f>
        <v/>
      </c>
      <c r="E23" s="25">
        <f>D23+E22</f>
        <v/>
      </c>
      <c r="F23" s="25">
        <f>E23+F22</f>
        <v/>
      </c>
      <c r="G23" s="25">
        <f>F23+G22</f>
        <v/>
      </c>
      <c r="H23" s="25">
        <f>G23+H22</f>
        <v/>
      </c>
      <c r="I23" s="25">
        <f>H23+I22</f>
        <v/>
      </c>
      <c r="J23" s="25">
        <f>I23+J22</f>
        <v/>
      </c>
      <c r="K23" s="25">
        <f>J23+K22</f>
        <v/>
      </c>
      <c r="L23" s="25">
        <f>K23+L22</f>
        <v/>
      </c>
    </row>
  </sheetData>
  <mergeCells count="2">
    <mergeCell ref="A16:L16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8" customWidth="1" min="2" max="2"/>
    <col width="34" customWidth="1" min="3" max="3"/>
    <col width="24" customWidth="1" min="4" max="4"/>
    <col width="19" customWidth="1" min="5" max="5"/>
    <col width="34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</cols>
  <sheetData>
    <row r="1" ht="32" customHeight="1">
      <c r="A1" s="15" t="inlineStr">
        <is>
          <t>QWEN 2.5 32B INSTRUCT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100,000 sq ft</t>
        </is>
      </c>
      <c r="C4" s="18" t="n">
        <v>875000000</v>
      </c>
      <c r="D4" s="18" t="n">
        <v>40000000</v>
      </c>
      <c r="E4" s="17" t="inlineStr">
        <is>
          <t>1.14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Phase 1 Land Acquisition (50 Acres)</t>
        </is>
      </c>
      <c r="C7" s="19" t="inlineStr">
        <is>
          <t>Turnkey Facility Infrastructure</t>
        </is>
      </c>
      <c r="D7" s="6" t="n">
        <v>500000</v>
      </c>
      <c r="E7" s="20">
        <f>D7/$D$16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Site Prep &amp; Utilities</t>
        </is>
      </c>
      <c r="C8" s="19" t="inlineStr">
        <is>
          <t>Turnkey Facility Infrastructure</t>
        </is>
      </c>
      <c r="D8" s="6" t="n">
        <v>200000</v>
      </c>
      <c r="E8" s="20">
        <f>D8/$D$16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Phase 1 Structural Buildout</t>
        </is>
      </c>
      <c r="C9" s="19" t="inlineStr">
        <is>
          <t>Turnkey Facility Infrastructure</t>
        </is>
      </c>
      <c r="D9" s="6" t="n">
        <v>30000000</v>
      </c>
      <c r="E9" s="20">
        <f>D9/$D$16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Electrical Wiring &amp; Switchgear</t>
        </is>
      </c>
      <c r="C10" s="19" t="inlineStr">
        <is>
          <t>Turnkey Facility Infrastructure</t>
        </is>
      </c>
      <c r="D10" s="6" t="n">
        <v>10000000</v>
      </c>
      <c r="E10" s="20">
        <f>D10/$D$16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HVAC &amp; Chiller Modules</t>
        </is>
      </c>
      <c r="C11" s="19" t="inlineStr">
        <is>
          <t>Turnkey Facility Infrastructure</t>
        </is>
      </c>
      <c r="D11" s="6" t="n">
        <v>10000000</v>
      </c>
      <c r="E11" s="20">
        <f>D11/$D$16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Data Center Infrastructure Servers</t>
        </is>
      </c>
      <c r="C12" s="19" t="inlineStr">
        <is>
          <t>Turnkey Facility Infrastructure</t>
        </is>
      </c>
      <c r="D12" s="6" t="n">
        <v>20000000</v>
      </c>
      <c r="E12" s="20">
        <f>D12/$D$16</f>
        <v/>
      </c>
      <c r="F12" s="5" t="inlineStr">
        <is>
          <t>Tier IV Specification Benchmark</t>
        </is>
      </c>
    </row>
    <row r="13" ht="20" customHeight="1">
      <c r="A13" s="19" t="n">
        <v>7</v>
      </c>
      <c r="B13" s="5" t="inlineStr">
        <is>
          <t>Security &amp; Access Control</t>
        </is>
      </c>
      <c r="C13" s="19" t="inlineStr">
        <is>
          <t>Turnkey Facility Infrastructure</t>
        </is>
      </c>
      <c r="D13" s="6" t="n">
        <v>1000000</v>
      </c>
      <c r="E13" s="20">
        <f>D13/$D$16</f>
        <v/>
      </c>
      <c r="F13" s="5" t="inlineStr">
        <is>
          <t>Tier IV Specification Benchmark</t>
        </is>
      </c>
    </row>
    <row r="14" ht="20" customHeight="1">
      <c r="A14" s="19" t="n">
        <v>8</v>
      </c>
      <c r="B14" s="5" t="inlineStr">
        <is>
          <t>Phase 1 Contingency</t>
        </is>
      </c>
      <c r="C14" s="19" t="inlineStr">
        <is>
          <t>Turnkey Facility Infrastructure</t>
        </is>
      </c>
      <c r="D14" s="6" t="n">
        <v>5000000</v>
      </c>
      <c r="E14" s="20">
        <f>D14/$D$16</f>
        <v/>
      </c>
      <c r="F14" s="5" t="inlineStr">
        <is>
          <t>Tier IV Specification Benchmark</t>
        </is>
      </c>
    </row>
    <row r="15" ht="20" customHeight="1">
      <c r="A15" s="19" t="n">
        <v>9</v>
      </c>
      <c r="B15" s="5" t="inlineStr">
        <is>
          <t>Full 2GW Scale Multiplier (Modular Expansion)</t>
        </is>
      </c>
      <c r="C15" s="19" t="inlineStr">
        <is>
          <t>Turnkey Facility Infrastructure</t>
        </is>
      </c>
      <c r="D15" s="6" t="n">
        <v>1662500000</v>
      </c>
      <c r="E15" s="20">
        <f>D15/$D$16</f>
        <v/>
      </c>
      <c r="F15" s="5" t="inlineStr">
        <is>
          <t>Tier IV Specification Benchmark</t>
        </is>
      </c>
    </row>
    <row r="16" ht="24" customHeight="1">
      <c r="B16" s="11" t="inlineStr">
        <is>
          <t>TOTAL MODELED CAPITAL EXPENDITURE</t>
        </is>
      </c>
      <c r="D16" s="12">
        <f>SUM(D7:D15)</f>
        <v/>
      </c>
      <c r="E16" s="21">
        <f>SUM(E7:E15)</f>
        <v/>
      </c>
    </row>
    <row r="17"/>
    <row r="18"/>
    <row r="19" ht="26" customHeight="1">
      <c r="A19" s="22" t="inlineStr">
        <is>
          <t>10-YEAR PRO-FORMA CASH FLOWS &amp; DEBT RETIREMENT ($USD)</t>
        </is>
      </c>
    </row>
    <row r="20" ht="22" customHeight="1">
      <c r="A20" s="3" t="inlineStr">
        <is>
          <t>Cash Flow Line Item</t>
        </is>
      </c>
      <c r="B20" s="3" t="inlineStr">
        <is>
          <t>Year 0</t>
        </is>
      </c>
      <c r="C20" s="3" t="inlineStr">
        <is>
          <t>Year 1</t>
        </is>
      </c>
      <c r="D20" s="3" t="inlineStr">
        <is>
          <t>Year 2</t>
        </is>
      </c>
      <c r="E20" s="3" t="inlineStr">
        <is>
          <t>Year 3</t>
        </is>
      </c>
      <c r="F20" s="3" t="inlineStr">
        <is>
          <t>Year 4</t>
        </is>
      </c>
      <c r="G20" s="3" t="inlineStr">
        <is>
          <t>Year 5</t>
        </is>
      </c>
      <c r="H20" s="3" t="inlineStr">
        <is>
          <t>Year 6</t>
        </is>
      </c>
      <c r="I20" s="3" t="inlineStr">
        <is>
          <t>Year 7</t>
        </is>
      </c>
      <c r="J20" s="3" t="inlineStr">
        <is>
          <t>Year 8</t>
        </is>
      </c>
      <c r="K20" s="3" t="inlineStr">
        <is>
          <t>Year 9</t>
        </is>
      </c>
      <c r="L20" s="3" t="inlineStr">
        <is>
          <t>Year 10</t>
        </is>
      </c>
    </row>
    <row r="21" ht="20" customHeight="1">
      <c r="A21" s="5" t="inlineStr">
        <is>
          <t>Gross Capacity Lease Revenue (Escalating 3% p.a.)</t>
        </is>
      </c>
      <c r="B21" s="23" t="n">
        <v>0</v>
      </c>
      <c r="C21" s="6" t="n">
        <v>332500000</v>
      </c>
      <c r="D21" s="6" t="n">
        <v>342475000</v>
      </c>
      <c r="E21" s="6" t="n">
        <v>352749250</v>
      </c>
      <c r="F21" s="6" t="n">
        <v>363331727.5</v>
      </c>
      <c r="G21" s="6" t="n">
        <v>374231679.325</v>
      </c>
      <c r="H21" s="6" t="n">
        <v>385458629.70475</v>
      </c>
      <c r="I21" s="6" t="n">
        <v>397022388.5958925</v>
      </c>
      <c r="J21" s="6" t="n">
        <v>408933060.2537693</v>
      </c>
      <c r="K21" s="6" t="n">
        <v>421201052.0613825</v>
      </c>
      <c r="L21" s="6" t="n">
        <v>433837083.6232239</v>
      </c>
    </row>
    <row r="22" ht="20" customHeight="1">
      <c r="A22" s="5" t="inlineStr">
        <is>
          <t>Facility Operating Expenses (OpEx + Grid Tariff)</t>
        </is>
      </c>
      <c r="B22" s="23" t="n">
        <v>0</v>
      </c>
      <c r="C22" s="6" t="n">
        <v>40000000</v>
      </c>
      <c r="D22" s="6" t="n">
        <v>41000000</v>
      </c>
      <c r="E22" s="6" t="n">
        <v>42025000</v>
      </c>
      <c r="F22" s="6" t="n">
        <v>43075624.99999999</v>
      </c>
      <c r="G22" s="6" t="n">
        <v>44152515.62499999</v>
      </c>
      <c r="H22" s="6" t="n">
        <v>45256328.51562498</v>
      </c>
      <c r="I22" s="6" t="n">
        <v>46387736.7285156</v>
      </c>
      <c r="J22" s="6" t="n">
        <v>47547430.14672849</v>
      </c>
      <c r="K22" s="6" t="n">
        <v>48736115.90039669</v>
      </c>
      <c r="L22" s="6" t="n">
        <v>49954518.79790661</v>
      </c>
    </row>
    <row r="23" ht="20" customHeight="1">
      <c r="A23" s="4" t="inlineStr">
        <is>
          <t>Net Operating Income (NOI)</t>
        </is>
      </c>
      <c r="B23" s="24" t="inlineStr">
        <is>
          <t>-</t>
        </is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</row>
    <row r="24" ht="20" customHeight="1">
      <c r="A24" s="5" t="inlineStr">
        <is>
          <t>Debt Service (P&amp;I 6.5% Amortized 15 Years)</t>
        </is>
      </c>
      <c r="B24" s="23" t="n">
        <v>0</v>
      </c>
      <c r="C24" s="6" t="n">
        <v>70000000</v>
      </c>
      <c r="D24" s="6" t="n">
        <v>70000000</v>
      </c>
      <c r="E24" s="6" t="n">
        <v>70000000</v>
      </c>
      <c r="F24" s="6" t="n">
        <v>70000000</v>
      </c>
      <c r="G24" s="6" t="n">
        <v>70000000</v>
      </c>
      <c r="H24" s="6" t="n">
        <v>70000000</v>
      </c>
      <c r="I24" s="6" t="n">
        <v>70000000</v>
      </c>
      <c r="J24" s="6" t="n">
        <v>70000000</v>
      </c>
      <c r="K24" s="6" t="n">
        <v>70000000</v>
      </c>
      <c r="L24" s="6" t="n">
        <v>70000000</v>
      </c>
    </row>
    <row r="25" ht="20" customHeight="1">
      <c r="A25" s="4" t="inlineStr">
        <is>
          <t>Free Cash Flow to Equity (FCFE)</t>
        </is>
      </c>
      <c r="B25" s="26">
        <f>-D16</f>
        <v/>
      </c>
      <c r="C25" s="25">
        <f>C23-C24</f>
        <v/>
      </c>
      <c r="D25" s="25">
        <f>D23-D24</f>
        <v/>
      </c>
      <c r="E25" s="25">
        <f>E23-E24</f>
        <v/>
      </c>
      <c r="F25" s="25">
        <f>F23-F24</f>
        <v/>
      </c>
      <c r="G25" s="25">
        <f>G23-G24</f>
        <v/>
      </c>
      <c r="H25" s="25">
        <f>H23-H24</f>
        <v/>
      </c>
      <c r="I25" s="25">
        <f>I23-I24</f>
        <v/>
      </c>
      <c r="J25" s="25">
        <f>J23-J24</f>
        <v/>
      </c>
      <c r="K25" s="25">
        <f>K23-K24</f>
        <v/>
      </c>
      <c r="L25" s="25">
        <f>L23-L24</f>
        <v/>
      </c>
    </row>
    <row r="26" ht="20" customHeight="1">
      <c r="A26" s="4" t="inlineStr">
        <is>
          <t>Cumulative Equity Position</t>
        </is>
      </c>
      <c r="B26" s="23">
        <f>B25</f>
        <v/>
      </c>
      <c r="C26" s="25">
        <f>B26+C25</f>
        <v/>
      </c>
      <c r="D26" s="25">
        <f>C26+D25</f>
        <v/>
      </c>
      <c r="E26" s="25">
        <f>D26+E25</f>
        <v/>
      </c>
      <c r="F26" s="25">
        <f>E26+F25</f>
        <v/>
      </c>
      <c r="G26" s="25">
        <f>F26+G25</f>
        <v/>
      </c>
      <c r="H26" s="25">
        <f>G26+H25</f>
        <v/>
      </c>
      <c r="I26" s="25">
        <f>H26+I25</f>
        <v/>
      </c>
      <c r="J26" s="25">
        <f>I26+J25</f>
        <v/>
      </c>
      <c r="K26" s="25">
        <f>J26+K25</f>
        <v/>
      </c>
      <c r="L26" s="25">
        <f>K26+L25</f>
        <v/>
      </c>
    </row>
  </sheetData>
  <mergeCells count="2">
    <mergeCell ref="A19:L19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46" customWidth="1" min="2" max="2"/>
    <col width="34" customWidth="1" min="3" max="3"/>
    <col width="24" customWidth="1" min="4" max="4"/>
    <col width="19" customWidth="1" min="5" max="5"/>
    <col width="34" customWidth="1" min="6" max="6"/>
    <col width="20" customWidth="1" min="7" max="7"/>
    <col width="21" customWidth="1" min="8" max="8"/>
    <col width="20" customWidth="1" min="9" max="9"/>
    <col width="19" customWidth="1" min="10" max="10"/>
    <col width="20" customWidth="1" min="11" max="11"/>
    <col width="20" customWidth="1" min="12" max="12"/>
  </cols>
  <sheetData>
    <row r="1" ht="32" customHeight="1">
      <c r="A1" s="15" t="inlineStr">
        <is>
          <t>QWEN 2.5 CODER 14B INSTRUCT — 2GW DATA CENTER FINANCIAL MODEL</t>
        </is>
      </c>
    </row>
    <row r="2"/>
    <row r="3" ht="20" customHeight="1">
      <c r="A3" s="16" t="inlineStr">
        <is>
          <t>Facility Capacity</t>
        </is>
      </c>
      <c r="B3" s="16" t="inlineStr">
        <is>
          <t>Target Area</t>
        </is>
      </c>
      <c r="C3" s="16" t="inlineStr">
        <is>
          <t>Modeled CapEx</t>
        </is>
      </c>
      <c r="D3" s="16" t="inlineStr">
        <is>
          <t>Annualized OpEx</t>
        </is>
      </c>
      <c r="E3" s="16" t="inlineStr">
        <is>
          <t>Inference Speed</t>
        </is>
      </c>
    </row>
    <row r="4" ht="22" customHeight="1">
      <c r="A4" s="17" t="inlineStr">
        <is>
          <t>2.0 Gigawatts</t>
        </is>
      </c>
      <c r="B4" s="17" t="inlineStr">
        <is>
          <t>500,000 sq ft</t>
        </is>
      </c>
      <c r="C4" s="18" t="n">
        <v>750000000</v>
      </c>
      <c r="D4" s="18" t="n">
        <v>65000000</v>
      </c>
      <c r="E4" s="17" t="inlineStr">
        <is>
          <t>3.17 TPS</t>
        </is>
      </c>
    </row>
    <row r="5"/>
    <row r="6" ht="24" customHeight="1">
      <c r="A6" s="3" t="inlineStr">
        <is>
          <t>Line #</t>
        </is>
      </c>
      <c r="B6" s="3" t="inlineStr">
        <is>
          <t>Capital Expenditure Category</t>
        </is>
      </c>
      <c r="C6" s="3" t="inlineStr">
        <is>
          <t>Cost Center Classification</t>
        </is>
      </c>
      <c r="D6" s="3" t="inlineStr">
        <is>
          <t>Modeled Amount ($USD)</t>
        </is>
      </c>
      <c r="E6" s="3" t="inlineStr">
        <is>
          <t>% of Total CapEx</t>
        </is>
      </c>
      <c r="F6" s="3" t="inlineStr">
        <is>
          <t>Engineering Basis</t>
        </is>
      </c>
    </row>
    <row r="7" ht="20" customHeight="1">
      <c r="A7" s="19" t="n">
        <v>1</v>
      </c>
      <c r="B7" s="5" t="inlineStr">
        <is>
          <t>Land &amp; Civil Works</t>
        </is>
      </c>
      <c r="C7" s="19" t="inlineStr">
        <is>
          <t>Turnkey Facility Infrastructure</t>
        </is>
      </c>
      <c r="D7" s="6" t="n">
        <v>15000000</v>
      </c>
      <c r="E7" s="20">
        <f>D7/$D$13</f>
        <v/>
      </c>
      <c r="F7" s="5" t="inlineStr">
        <is>
          <t>Tier IV Specification Benchmark</t>
        </is>
      </c>
    </row>
    <row r="8" ht="20" customHeight="1">
      <c r="A8" s="19" t="n">
        <v>2</v>
      </c>
      <c r="B8" s="5" t="inlineStr">
        <is>
          <t>Architectural, Structural &amp; MEP Engineering</t>
        </is>
      </c>
      <c r="C8" s="19" t="inlineStr">
        <is>
          <t>Turnkey Facility Infrastructure</t>
        </is>
      </c>
      <c r="D8" s="6" t="n">
        <v>35000000</v>
      </c>
      <c r="E8" s="20">
        <f>D8/$D$13</f>
        <v/>
      </c>
      <c r="F8" s="5" t="inlineStr">
        <is>
          <t>Tier IV Specification Benchmark</t>
        </is>
      </c>
    </row>
    <row r="9" ht="20" customHeight="1">
      <c r="A9" s="19" t="n">
        <v>3</v>
      </c>
      <c r="B9" s="5" t="inlineStr">
        <is>
          <t>High-Voltage Power Systems &amp; Generators</t>
        </is>
      </c>
      <c r="C9" s="19" t="inlineStr">
        <is>
          <t>Turnkey Facility Infrastructure</t>
        </is>
      </c>
      <c r="D9" s="6" t="n">
        <v>350000000</v>
      </c>
      <c r="E9" s="20">
        <f>D9/$D$13</f>
        <v/>
      </c>
      <c r="F9" s="5" t="inlineStr">
        <is>
          <t>Tier IV Specification Benchmark</t>
        </is>
      </c>
    </row>
    <row r="10" ht="20" customHeight="1">
      <c r="A10" s="19" t="n">
        <v>4</v>
      </c>
      <c r="B10" s="5" t="inlineStr">
        <is>
          <t>High-Density Chiller &amp; Cooling Plants</t>
        </is>
      </c>
      <c r="C10" s="19" t="inlineStr">
        <is>
          <t>Turnkey Facility Infrastructure</t>
        </is>
      </c>
      <c r="D10" s="6" t="n">
        <v>180000000</v>
      </c>
      <c r="E10" s="20">
        <f>D10/$D$13</f>
        <v/>
      </c>
      <c r="F10" s="5" t="inlineStr">
        <is>
          <t>Tier IV Specification Benchmark</t>
        </is>
      </c>
    </row>
    <row r="11" ht="20" customHeight="1">
      <c r="A11" s="19" t="n">
        <v>5</v>
      </c>
      <c r="B11" s="5" t="inlineStr">
        <is>
          <t>High-Speed Optical Fabric &amp; Equipment</t>
        </is>
      </c>
      <c r="C11" s="19" t="inlineStr">
        <is>
          <t>Turnkey Facility Infrastructure</t>
        </is>
      </c>
      <c r="D11" s="6" t="n">
        <v>120000000</v>
      </c>
      <c r="E11" s="20">
        <f>D11/$D$13</f>
        <v/>
      </c>
      <c r="F11" s="5" t="inlineStr">
        <is>
          <t>Tier IV Specification Benchmark</t>
        </is>
      </c>
    </row>
    <row r="12" ht="20" customHeight="1">
      <c r="A12" s="19" t="n">
        <v>6</v>
      </c>
      <c r="B12" s="5" t="inlineStr">
        <is>
          <t>Contingency &amp; Financing Debt Reserve</t>
        </is>
      </c>
      <c r="C12" s="19" t="inlineStr">
        <is>
          <t>Turnkey Facility Infrastructure</t>
        </is>
      </c>
      <c r="D12" s="6" t="n">
        <v>50000000</v>
      </c>
      <c r="E12" s="20">
        <f>D12/$D$13</f>
        <v/>
      </c>
      <c r="F12" s="5" t="inlineStr">
        <is>
          <t>Tier IV Specification Benchmark</t>
        </is>
      </c>
    </row>
    <row r="13" ht="24" customHeight="1">
      <c r="B13" s="11" t="inlineStr">
        <is>
          <t>TOTAL MODELED CAPITAL EXPENDITURE</t>
        </is>
      </c>
      <c r="D13" s="12">
        <f>SUM(D7:D12)</f>
        <v/>
      </c>
      <c r="E13" s="21">
        <f>SUM(E7:E12)</f>
        <v/>
      </c>
    </row>
    <row r="14"/>
    <row r="15"/>
    <row r="16" ht="26" customHeight="1">
      <c r="A16" s="22" t="inlineStr">
        <is>
          <t>10-YEAR PRO-FORMA CASH FLOWS &amp; DEBT RETIREMENT ($USD)</t>
        </is>
      </c>
    </row>
    <row r="17" ht="22" customHeight="1">
      <c r="A17" s="3" t="inlineStr">
        <is>
          <t>Cash Flow Line Item</t>
        </is>
      </c>
      <c r="B17" s="3" t="inlineStr">
        <is>
          <t>Year 0</t>
        </is>
      </c>
      <c r="C17" s="3" t="inlineStr">
        <is>
          <t>Year 1</t>
        </is>
      </c>
      <c r="D17" s="3" t="inlineStr">
        <is>
          <t>Year 2</t>
        </is>
      </c>
      <c r="E17" s="3" t="inlineStr">
        <is>
          <t>Year 3</t>
        </is>
      </c>
      <c r="F17" s="3" t="inlineStr">
        <is>
          <t>Year 4</t>
        </is>
      </c>
      <c r="G17" s="3" t="inlineStr">
        <is>
          <t>Year 5</t>
        </is>
      </c>
      <c r="H17" s="3" t="inlineStr">
        <is>
          <t>Year 6</t>
        </is>
      </c>
      <c r="I17" s="3" t="inlineStr">
        <is>
          <t>Year 7</t>
        </is>
      </c>
      <c r="J17" s="3" t="inlineStr">
        <is>
          <t>Year 8</t>
        </is>
      </c>
      <c r="K17" s="3" t="inlineStr">
        <is>
          <t>Year 9</t>
        </is>
      </c>
      <c r="L17" s="3" t="inlineStr">
        <is>
          <t>Year 10</t>
        </is>
      </c>
    </row>
    <row r="18" ht="20" customHeight="1">
      <c r="A18" s="5" t="inlineStr">
        <is>
          <t>Gross Capacity Lease Revenue (Escalating 3% p.a.)</t>
        </is>
      </c>
      <c r="B18" s="23" t="n">
        <v>0</v>
      </c>
      <c r="C18" s="6" t="n">
        <v>285000000</v>
      </c>
      <c r="D18" s="6" t="n">
        <v>293550000</v>
      </c>
      <c r="E18" s="6" t="n">
        <v>302356500</v>
      </c>
      <c r="F18" s="6" t="n">
        <v>311427195</v>
      </c>
      <c r="G18" s="6" t="n">
        <v>320770010.85</v>
      </c>
      <c r="H18" s="6" t="n">
        <v>330393111.1755</v>
      </c>
      <c r="I18" s="6" t="n">
        <v>340304904.510765</v>
      </c>
      <c r="J18" s="6" t="n">
        <v>350514051.646088</v>
      </c>
      <c r="K18" s="6" t="n">
        <v>361029473.1954707</v>
      </c>
      <c r="L18" s="6" t="n">
        <v>371860357.3913348</v>
      </c>
    </row>
    <row r="19" ht="20" customHeight="1">
      <c r="A19" s="5" t="inlineStr">
        <is>
          <t>Facility Operating Expenses (OpEx + Grid Tariff)</t>
        </is>
      </c>
      <c r="B19" s="23" t="n">
        <v>0</v>
      </c>
      <c r="C19" s="6" t="n">
        <v>65000000</v>
      </c>
      <c r="D19" s="6" t="n">
        <v>66624999.99999999</v>
      </c>
      <c r="E19" s="6" t="n">
        <v>68290625</v>
      </c>
      <c r="F19" s="6" t="n">
        <v>69997890.62499999</v>
      </c>
      <c r="G19" s="6" t="n">
        <v>71747837.89062497</v>
      </c>
      <c r="H19" s="6" t="n">
        <v>73541533.8378906</v>
      </c>
      <c r="I19" s="6" t="n">
        <v>75380072.18383785</v>
      </c>
      <c r="J19" s="6" t="n">
        <v>77264573.98843379</v>
      </c>
      <c r="K19" s="6" t="n">
        <v>79196188.33814462</v>
      </c>
      <c r="L19" s="6" t="n">
        <v>81176093.04659824</v>
      </c>
    </row>
    <row r="20" ht="20" customHeight="1">
      <c r="A20" s="4" t="inlineStr">
        <is>
          <t>Net Operating Income (NOI)</t>
        </is>
      </c>
      <c r="B20" s="24" t="inlineStr">
        <is>
          <t>-</t>
        </is>
      </c>
      <c r="C20" s="25">
        <f>C18-C19</f>
        <v/>
      </c>
      <c r="D20" s="25">
        <f>D18-D19</f>
        <v/>
      </c>
      <c r="E20" s="25">
        <f>E18-E19</f>
        <v/>
      </c>
      <c r="F20" s="25">
        <f>F18-F19</f>
        <v/>
      </c>
      <c r="G20" s="25">
        <f>G18-G19</f>
        <v/>
      </c>
      <c r="H20" s="25">
        <f>H18-H19</f>
        <v/>
      </c>
      <c r="I20" s="25">
        <f>I18-I19</f>
        <v/>
      </c>
      <c r="J20" s="25">
        <f>J18-J19</f>
        <v/>
      </c>
      <c r="K20" s="25">
        <f>K18-K19</f>
        <v/>
      </c>
      <c r="L20" s="25">
        <f>L18-L19</f>
        <v/>
      </c>
    </row>
    <row r="21" ht="20" customHeight="1">
      <c r="A21" s="5" t="inlineStr">
        <is>
          <t>Debt Service (P&amp;I 6.5% Amortized 15 Years)</t>
        </is>
      </c>
      <c r="B21" s="23" t="n">
        <v>0</v>
      </c>
      <c r="C21" s="6" t="n">
        <v>60000000</v>
      </c>
      <c r="D21" s="6" t="n">
        <v>60000000</v>
      </c>
      <c r="E21" s="6" t="n">
        <v>60000000</v>
      </c>
      <c r="F21" s="6" t="n">
        <v>60000000</v>
      </c>
      <c r="G21" s="6" t="n">
        <v>60000000</v>
      </c>
      <c r="H21" s="6" t="n">
        <v>60000000</v>
      </c>
      <c r="I21" s="6" t="n">
        <v>60000000</v>
      </c>
      <c r="J21" s="6" t="n">
        <v>60000000</v>
      </c>
      <c r="K21" s="6" t="n">
        <v>60000000</v>
      </c>
      <c r="L21" s="6" t="n">
        <v>60000000</v>
      </c>
    </row>
    <row r="22" ht="20" customHeight="1">
      <c r="A22" s="4" t="inlineStr">
        <is>
          <t>Free Cash Flow to Equity (FCFE)</t>
        </is>
      </c>
      <c r="B22" s="26">
        <f>-D13</f>
        <v/>
      </c>
      <c r="C22" s="25">
        <f>C20-C21</f>
        <v/>
      </c>
      <c r="D22" s="25">
        <f>D20-D21</f>
        <v/>
      </c>
      <c r="E22" s="25">
        <f>E20-E21</f>
        <v/>
      </c>
      <c r="F22" s="25">
        <f>F20-F21</f>
        <v/>
      </c>
      <c r="G22" s="25">
        <f>G20-G21</f>
        <v/>
      </c>
      <c r="H22" s="25">
        <f>H20-H21</f>
        <v/>
      </c>
      <c r="I22" s="25">
        <f>I20-I21</f>
        <v/>
      </c>
      <c r="J22" s="25">
        <f>J20-J21</f>
        <v/>
      </c>
      <c r="K22" s="25">
        <f>K20-K21</f>
        <v/>
      </c>
      <c r="L22" s="25">
        <f>L20-L21</f>
        <v/>
      </c>
    </row>
    <row r="23" ht="20" customHeight="1">
      <c r="A23" s="4" t="inlineStr">
        <is>
          <t>Cumulative Equity Position</t>
        </is>
      </c>
      <c r="B23" s="23">
        <f>B22</f>
        <v/>
      </c>
      <c r="C23" s="25">
        <f>B23+C22</f>
        <v/>
      </c>
      <c r="D23" s="25">
        <f>C23+D22</f>
        <v/>
      </c>
      <c r="E23" s="25">
        <f>D23+E22</f>
        <v/>
      </c>
      <c r="F23" s="25">
        <f>E23+F22</f>
        <v/>
      </c>
      <c r="G23" s="25">
        <f>F23+G22</f>
        <v/>
      </c>
      <c r="H23" s="25">
        <f>G23+H22</f>
        <v/>
      </c>
      <c r="I23" s="25">
        <f>H23+I22</f>
        <v/>
      </c>
      <c r="J23" s="25">
        <f>I23+J22</f>
        <v/>
      </c>
      <c r="K23" s="25">
        <f>J23+K22</f>
        <v/>
      </c>
      <c r="L23" s="25">
        <f>K23+L22</f>
        <v/>
      </c>
    </row>
  </sheetData>
  <mergeCells count="2">
    <mergeCell ref="A16:L1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4" customWidth="1" min="3" max="3"/>
    <col width="29" customWidth="1" min="4" max="4"/>
    <col width="30" customWidth="1" min="5" max="5"/>
    <col width="27" customWidth="1" min="6" max="6"/>
    <col width="36" customWidth="1" min="7" max="7"/>
  </cols>
  <sheetData>
    <row r="1" ht="32" customHeight="1">
      <c r="A1" s="15" t="inlineStr">
        <is>
          <t>TEXAS ERCOT 2GW POWER &amp; THERMAL SENSITIVITY MATRIX</t>
        </is>
      </c>
    </row>
    <row r="2"/>
    <row r="3" ht="24" customHeight="1">
      <c r="A3" s="3" t="inlineStr">
        <is>
          <t>Electricity Tariff ($/MWh)</t>
        </is>
      </c>
      <c r="B3" s="3" t="inlineStr">
        <is>
          <t>Annual Energy Load (MWh)</t>
        </is>
      </c>
      <c r="C3" s="3" t="inlineStr">
        <is>
          <t>Annual Power OpEx ($)</t>
        </is>
      </c>
      <c r="D3" s="3" t="inlineStr">
        <is>
          <t>PUE = 1.15 (Direct Liquid)</t>
        </is>
      </c>
      <c r="E3" s="3" t="inlineStr">
        <is>
          <t>PUE = 1.25 (Hybrid Cooling)</t>
        </is>
      </c>
      <c r="F3" s="3" t="inlineStr">
        <is>
          <t>PUE = 1.40 (Air Chilled)</t>
        </is>
      </c>
      <c r="G3" s="3" t="inlineStr">
        <is>
          <t>Peak Summer Curtailment Risk</t>
        </is>
      </c>
    </row>
    <row r="4" ht="20" customHeight="1">
      <c r="A4" s="27" t="n">
        <v>45</v>
      </c>
      <c r="B4" s="8" t="inlineStr">
        <is>
          <t>16,644,000</t>
        </is>
      </c>
      <c r="C4" s="25">
        <f>A4*B4</f>
        <v/>
      </c>
      <c r="D4" s="23">
        <f>C4*1.15</f>
        <v/>
      </c>
      <c r="E4" s="23">
        <f>C4*1.25</f>
        <v/>
      </c>
      <c r="F4" s="23">
        <f>C4*1.4</f>
        <v/>
      </c>
      <c r="G4" s="19" t="inlineStr">
        <is>
          <t>Moderate (ERCOT reserve)</t>
        </is>
      </c>
    </row>
    <row r="5" ht="20" customHeight="1">
      <c r="A5" s="27" t="n">
        <v>55</v>
      </c>
      <c r="B5" s="8" t="inlineStr">
        <is>
          <t>16,644,000</t>
        </is>
      </c>
      <c r="C5" s="25">
        <f>A5*B5</f>
        <v/>
      </c>
      <c r="D5" s="23">
        <f>C5*1.15</f>
        <v/>
      </c>
      <c r="E5" s="23">
        <f>C5*1.25</f>
        <v/>
      </c>
      <c r="F5" s="23">
        <f>C5*1.4</f>
        <v/>
      </c>
      <c r="G5" s="19" t="inlineStr">
        <is>
          <t>Moderate (ERCOT reserve)</t>
        </is>
      </c>
    </row>
    <row r="6" ht="20" customHeight="1">
      <c r="A6" s="27" t="n">
        <v>65</v>
      </c>
      <c r="B6" s="8" t="inlineStr">
        <is>
          <t>16,644,000</t>
        </is>
      </c>
      <c r="C6" s="25">
        <f>A6*B6</f>
        <v/>
      </c>
      <c r="D6" s="23">
        <f>C6*1.15</f>
        <v/>
      </c>
      <c r="E6" s="23">
        <f>C6*1.25</f>
        <v/>
      </c>
      <c r="F6" s="23">
        <f>C6*1.4</f>
        <v/>
      </c>
      <c r="G6" s="19" t="inlineStr">
        <is>
          <t>Moderate (ERCOT reserve)</t>
        </is>
      </c>
    </row>
    <row r="7" ht="20" customHeight="1">
      <c r="A7" s="27" t="n">
        <v>80</v>
      </c>
      <c r="B7" s="8" t="inlineStr">
        <is>
          <t>16,644,000</t>
        </is>
      </c>
      <c r="C7" s="25">
        <f>A7*B7</f>
        <v/>
      </c>
      <c r="D7" s="23">
        <f>C7*1.15</f>
        <v/>
      </c>
      <c r="E7" s="23">
        <f>C7*1.25</f>
        <v/>
      </c>
      <c r="F7" s="23">
        <f>C7*1.4</f>
        <v/>
      </c>
      <c r="G7" s="19" t="inlineStr">
        <is>
          <t>Severe (Summer 4CP Pricing Spike)</t>
        </is>
      </c>
    </row>
    <row r="8" ht="20" customHeight="1">
      <c r="A8" s="27" t="n">
        <v>100</v>
      </c>
      <c r="B8" s="8" t="inlineStr">
        <is>
          <t>16,644,000</t>
        </is>
      </c>
      <c r="C8" s="25">
        <f>A8*B8</f>
        <v/>
      </c>
      <c r="D8" s="23">
        <f>C8*1.15</f>
        <v/>
      </c>
      <c r="E8" s="23">
        <f>C8*1.25</f>
        <v/>
      </c>
      <c r="F8" s="23">
        <f>C8*1.4</f>
        <v/>
      </c>
      <c r="G8" s="19" t="inlineStr">
        <is>
          <t>Severe (Summer 4CP Pricing Spike)</t>
        </is>
      </c>
    </row>
    <row r="9" ht="20" customHeight="1">
      <c r="A9" s="27" t="n">
        <v>120</v>
      </c>
      <c r="B9" s="8" t="inlineStr">
        <is>
          <t>16,644,000</t>
        </is>
      </c>
      <c r="C9" s="25">
        <f>A9*B9</f>
        <v/>
      </c>
      <c r="D9" s="23">
        <f>C9*1.15</f>
        <v/>
      </c>
      <c r="E9" s="23">
        <f>C9*1.25</f>
        <v/>
      </c>
      <c r="F9" s="23">
        <f>C9*1.4</f>
        <v/>
      </c>
      <c r="G9" s="19" t="inlineStr">
        <is>
          <t>Severe (Summer 4CP Pricing Spike)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2026-10-04T07:16:26Z</dcterms:created>
  <dcterms:modified xmlns:dcterms="http://purl.org/dc/terms/" xmlns:xsi="http://www.w3.org/2001/XMLSchema-instance" xsi:type="dcterms:W3CDTF">2026-10-04T07:16:26Z</dcterms:modified>
</cp:coreProperties>
</file>