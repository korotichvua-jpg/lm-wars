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56" customWidth="1" min="2" max="2"/>
    <col width="23" customWidth="1" min="3" max="3"/>
    <col width="24" customWidth="1" min="4" max="4"/>
    <col width="69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Google Gemma 4 E4B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2,500,000 sq ft</t>
        </is>
      </c>
      <c r="C5" s="5" t="n">
        <v>4250000000</v>
      </c>
      <c r="D5" s="5" t="n">
        <v>1600000000</v>
      </c>
      <c r="E5" s="4" t="inlineStr">
        <is>
          <t>Institutional Investment Memo, Substation &amp; 2GW ERCOT Interconnect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Site Acquisition &amp; ERCOT Permitting</t>
        </is>
      </c>
      <c r="C8" s="7" t="inlineStr">
        <is>
          <t>Lump Sum / Itemized</t>
        </is>
      </c>
      <c r="D8" s="9" t="n">
        <v>100000000</v>
      </c>
      <c r="E8" s="10">
        <f>D8/$D$15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Civil &amp; Structural Mega-Buildout</t>
        </is>
      </c>
      <c r="C9" s="7" t="inlineStr">
        <is>
          <t>Lump Sum / Itemized</t>
        </is>
      </c>
      <c r="D9" s="9" t="n">
        <v>575000000</v>
      </c>
      <c r="E9" s="10">
        <f>D9/$D$15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Electrical Infrastructure (Substations, UPS, Feeders)</t>
        </is>
      </c>
      <c r="C10" s="7" t="inlineStr">
        <is>
          <t>Lump Sum / Itemized</t>
        </is>
      </c>
      <c r="D10" s="9" t="n">
        <v>2150000000</v>
      </c>
      <c r="E10" s="10">
        <f>D10/$D$15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Cooling &amp; Direct Liquid Cooling (DLC) Plant</t>
        </is>
      </c>
      <c r="C11" s="7" t="inlineStr">
        <is>
          <t>Lump Sum / Itemized</t>
        </is>
      </c>
      <c r="D11" s="9" t="n">
        <v>475000000</v>
      </c>
      <c r="E11" s="10">
        <f>D11/$D$15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Core High-Density Data Hall Buildout</t>
        </is>
      </c>
      <c r="C12" s="7" t="inlineStr">
        <is>
          <t>Lump Sum / Itemized</t>
        </is>
      </c>
      <c r="D12" s="9" t="n">
        <v>350000000</v>
      </c>
      <c r="E12" s="10">
        <f>D12/$D$15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Initial Network Backbone &amp; Commissioning</t>
        </is>
      </c>
      <c r="C13" s="7" t="inlineStr">
        <is>
          <t>Lump Sum / Itemized</t>
        </is>
      </c>
      <c r="D13" s="9" t="n">
        <v>200000000</v>
      </c>
      <c r="E13" s="10">
        <f>D13/$D$15</f>
        <v/>
      </c>
      <c r="F13" s="8" t="inlineStr">
        <is>
          <t>Engineered Benchmark Reference</t>
        </is>
      </c>
    </row>
    <row r="14" ht="22" customHeight="1">
      <c r="A14" s="7" t="n">
        <v>7</v>
      </c>
      <c r="B14" s="8" t="inlineStr">
        <is>
          <t>Contingency &amp; Supply Chain Buffer</t>
        </is>
      </c>
      <c r="C14" s="7" t="inlineStr">
        <is>
          <t>Lump Sum / Itemized</t>
        </is>
      </c>
      <c r="D14" s="9" t="n">
        <v>400000000</v>
      </c>
      <c r="E14" s="10">
        <f>D14/$D$15</f>
        <v/>
      </c>
      <c r="F14" s="8" t="inlineStr">
        <is>
          <t>Engineered Benchmark Reference</t>
        </is>
      </c>
    </row>
    <row r="15" ht="26" customHeight="1">
      <c r="B15" s="11" t="inlineStr">
        <is>
          <t>TOTAL MODELED CAPITAL EXPENDITURE</t>
        </is>
      </c>
      <c r="D15" s="12">
        <f>SUM(D8:D14)</f>
        <v/>
      </c>
      <c r="E15" s="13">
        <f>SUM(E8:E14)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1700000000</v>
      </c>
      <c r="D4" s="9" t="n">
        <v>1751000000</v>
      </c>
      <c r="E4" s="9" t="n">
        <v>1803530000</v>
      </c>
      <c r="F4" s="9" t="n">
        <v>1857635900</v>
      </c>
      <c r="G4" s="9" t="n">
        <v>1913364977</v>
      </c>
      <c r="H4" s="9" t="n">
        <v>1970765926.31</v>
      </c>
      <c r="I4" s="9" t="n">
        <v>2029888904.0993</v>
      </c>
      <c r="J4" s="9" t="n">
        <v>2090785571.222279</v>
      </c>
      <c r="K4" s="9" t="n">
        <v>2153509138.358948</v>
      </c>
      <c r="L4" s="9" t="n">
        <v>2218114412.509717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1600000000</v>
      </c>
      <c r="D5" s="9" t="n">
        <v>1640000000</v>
      </c>
      <c r="E5" s="9" t="n">
        <v>1681000000</v>
      </c>
      <c r="F5" s="9" t="n">
        <v>1723025000</v>
      </c>
      <c r="G5" s="9" t="n">
        <v>1766100624.999999</v>
      </c>
      <c r="H5" s="9" t="n">
        <v>1810253140.624999</v>
      </c>
      <c r="I5" s="9" t="n">
        <v>1855509469.140624</v>
      </c>
      <c r="J5" s="9" t="n">
        <v>1901897205.86914</v>
      </c>
      <c r="K5" s="9" t="n">
        <v>1949444636.015868</v>
      </c>
      <c r="L5" s="9" t="n">
        <v>1998180751.916264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340000000</v>
      </c>
      <c r="D7" s="9" t="n">
        <v>340000000</v>
      </c>
      <c r="E7" s="9" t="n">
        <v>340000000</v>
      </c>
      <c r="F7" s="9" t="n">
        <v>340000000</v>
      </c>
      <c r="G7" s="9" t="n">
        <v>340000000</v>
      </c>
      <c r="H7" s="9" t="n">
        <v>340000000</v>
      </c>
      <c r="I7" s="9" t="n">
        <v>340000000</v>
      </c>
      <c r="J7" s="9" t="n">
        <v>340000000</v>
      </c>
      <c r="K7" s="9" t="n">
        <v>340000000</v>
      </c>
      <c r="L7" s="9" t="n">
        <v>340000000</v>
      </c>
    </row>
    <row r="8" ht="20" customHeight="1">
      <c r="A8" s="16" t="inlineStr">
        <is>
          <t>Free Cash Flow to Equity (FCFE)</t>
        </is>
      </c>
      <c r="B8" s="19">
        <f>-'Executive Summary'!D15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