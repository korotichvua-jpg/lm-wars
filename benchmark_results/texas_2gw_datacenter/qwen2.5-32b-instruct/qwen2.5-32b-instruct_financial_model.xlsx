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10-Year Pro-For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718096"/>
      <sz val="9"/>
    </font>
    <font>
      <name val="Segoe UI"/>
      <b val="1"/>
      <color rgb="004A5568"/>
      <sz val="9"/>
    </font>
    <font>
      <name val="Segoe UI"/>
      <b val="1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1"/>
    </font>
    <font>
      <name val="Segoe UI"/>
      <b val="1"/>
      <color rgb="00FFFFFF"/>
      <sz val="13"/>
    </font>
    <font>
      <name val="Segoe UI"/>
      <b val="1"/>
      <color rgb="00C5303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DF2F7"/>
        <b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7" fillId="0" borderId="0" pivotButton="0" quotePrefix="0" xfId="0"/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41" customWidth="1" min="2" max="2"/>
    <col width="23" customWidth="1" min="3" max="3"/>
    <col width="24" customWidth="1" min="4" max="4"/>
    <col width="41" customWidth="1" min="5" max="5"/>
    <col width="33" customWidth="1" min="6" max="6"/>
    <col width="14" customWidth="1" min="7" max="7"/>
  </cols>
  <sheetData>
    <row r="1" ht="35" customHeight="1">
      <c r="A1" s="1" t="inlineStr">
        <is>
          <t>AI MEGA-SCALE DATA CENTER: 2GW TEXAS INVESTMENT DOSSIER</t>
        </is>
      </c>
    </row>
    <row r="2" ht="20" customHeight="1">
      <c r="A2" s="2" t="inlineStr">
        <is>
          <t>Model Source: Qwen 2.5 32B Instruct | Generated: 2026-10-04 | Confidential</t>
        </is>
      </c>
    </row>
    <row r="3"/>
    <row r="4" ht="24" customHeight="1">
      <c r="A4" s="3" t="inlineStr">
        <is>
          <t>Design Capacity</t>
        </is>
      </c>
      <c r="B4" s="3" t="inlineStr">
        <is>
          <t>Target Area</t>
        </is>
      </c>
      <c r="C4" s="3" t="inlineStr">
        <is>
          <t>CapEx Estimate (Mid)</t>
        </is>
      </c>
      <c r="D4" s="3" t="inlineStr">
        <is>
          <t>Est. Annual OpEx</t>
        </is>
      </c>
      <c r="E4" s="3" t="inlineStr">
        <is>
          <t>Primary Focus</t>
        </is>
      </c>
    </row>
    <row r="5" ht="24" customHeight="1">
      <c r="A5" s="4" t="inlineStr">
        <is>
          <t>2.0 Gigawatts</t>
        </is>
      </c>
      <c r="B5" s="4" t="inlineStr">
        <is>
          <t>100,000 sq ft</t>
        </is>
      </c>
      <c r="C5" s="5" t="n">
        <v>875000000</v>
      </c>
      <c r="D5" s="5" t="n">
        <v>40000000</v>
      </c>
      <c r="E5" s="4" t="inlineStr">
        <is>
          <t>Modular Phase 1 Pilot to 2GW Scale-Out</t>
        </is>
      </c>
    </row>
    <row r="6"/>
    <row r="7" ht="28" customHeight="1">
      <c r="A7" s="6" t="inlineStr">
        <is>
          <t>Line #</t>
        </is>
      </c>
      <c r="B7" s="6" t="inlineStr">
        <is>
          <t>Capital Expenditure Category</t>
        </is>
      </c>
      <c r="C7" s="6" t="inlineStr">
        <is>
          <t>Unit Basis</t>
        </is>
      </c>
      <c r="D7" s="6" t="inlineStr">
        <is>
          <t>Modeled Amount ($USD)</t>
        </is>
      </c>
      <c r="E7" s="6" t="inlineStr">
        <is>
          <t>% of Total CapEx</t>
        </is>
      </c>
      <c r="F7" s="6" t="inlineStr">
        <is>
          <t>Notes &amp; Source Assumption</t>
        </is>
      </c>
    </row>
    <row r="8" ht="22" customHeight="1">
      <c r="A8" s="7" t="n">
        <v>1</v>
      </c>
      <c r="B8" s="8" t="inlineStr">
        <is>
          <t>Phase 1 Land Acquisition (50 Acres)</t>
        </is>
      </c>
      <c r="C8" s="7" t="inlineStr">
        <is>
          <t>Lump Sum / Itemized</t>
        </is>
      </c>
      <c r="D8" s="9" t="n">
        <v>500000</v>
      </c>
      <c r="E8" s="10">
        <f>D8/$D$17</f>
        <v/>
      </c>
      <c r="F8" s="8" t="inlineStr">
        <is>
          <t>Engineered Benchmark Reference</t>
        </is>
      </c>
    </row>
    <row r="9" ht="22" customHeight="1">
      <c r="A9" s="7" t="n">
        <v>2</v>
      </c>
      <c r="B9" s="8" t="inlineStr">
        <is>
          <t>Site Prep &amp; Utilities</t>
        </is>
      </c>
      <c r="C9" s="7" t="inlineStr">
        <is>
          <t>Lump Sum / Itemized</t>
        </is>
      </c>
      <c r="D9" s="9" t="n">
        <v>200000</v>
      </c>
      <c r="E9" s="10">
        <f>D9/$D$17</f>
        <v/>
      </c>
      <c r="F9" s="8" t="inlineStr">
        <is>
          <t>Engineered Benchmark Reference</t>
        </is>
      </c>
    </row>
    <row r="10" ht="22" customHeight="1">
      <c r="A10" s="7" t="n">
        <v>3</v>
      </c>
      <c r="B10" s="8" t="inlineStr">
        <is>
          <t>Phase 1 Structural Buildout</t>
        </is>
      </c>
      <c r="C10" s="7" t="inlineStr">
        <is>
          <t>Lump Sum / Itemized</t>
        </is>
      </c>
      <c r="D10" s="9" t="n">
        <v>30000000</v>
      </c>
      <c r="E10" s="10">
        <f>D10/$D$17</f>
        <v/>
      </c>
      <c r="F10" s="8" t="inlineStr">
        <is>
          <t>Engineered Benchmark Reference</t>
        </is>
      </c>
    </row>
    <row r="11" ht="22" customHeight="1">
      <c r="A11" s="7" t="n">
        <v>4</v>
      </c>
      <c r="B11" s="8" t="inlineStr">
        <is>
          <t>Electrical Wiring &amp; Switchgear</t>
        </is>
      </c>
      <c r="C11" s="7" t="inlineStr">
        <is>
          <t>Lump Sum / Itemized</t>
        </is>
      </c>
      <c r="D11" s="9" t="n">
        <v>10000000</v>
      </c>
      <c r="E11" s="10">
        <f>D11/$D$17</f>
        <v/>
      </c>
      <c r="F11" s="8" t="inlineStr">
        <is>
          <t>Engineered Benchmark Reference</t>
        </is>
      </c>
    </row>
    <row r="12" ht="22" customHeight="1">
      <c r="A12" s="7" t="n">
        <v>5</v>
      </c>
      <c r="B12" s="8" t="inlineStr">
        <is>
          <t>HVAC &amp; Chiller Modules</t>
        </is>
      </c>
      <c r="C12" s="7" t="inlineStr">
        <is>
          <t>Lump Sum / Itemized</t>
        </is>
      </c>
      <c r="D12" s="9" t="n">
        <v>10000000</v>
      </c>
      <c r="E12" s="10">
        <f>D12/$D$17</f>
        <v/>
      </c>
      <c r="F12" s="8" t="inlineStr">
        <is>
          <t>Engineered Benchmark Reference</t>
        </is>
      </c>
    </row>
    <row r="13" ht="22" customHeight="1">
      <c r="A13" s="7" t="n">
        <v>6</v>
      </c>
      <c r="B13" s="8" t="inlineStr">
        <is>
          <t>Data Center Infrastructure Servers</t>
        </is>
      </c>
      <c r="C13" s="7" t="inlineStr">
        <is>
          <t>Lump Sum / Itemized</t>
        </is>
      </c>
      <c r="D13" s="9" t="n">
        <v>20000000</v>
      </c>
      <c r="E13" s="10">
        <f>D13/$D$17</f>
        <v/>
      </c>
      <c r="F13" s="8" t="inlineStr">
        <is>
          <t>Engineered Benchmark Reference</t>
        </is>
      </c>
    </row>
    <row r="14" ht="22" customHeight="1">
      <c r="A14" s="7" t="n">
        <v>7</v>
      </c>
      <c r="B14" s="8" t="inlineStr">
        <is>
          <t>Security &amp; Access Control</t>
        </is>
      </c>
      <c r="C14" s="7" t="inlineStr">
        <is>
          <t>Lump Sum / Itemized</t>
        </is>
      </c>
      <c r="D14" s="9" t="n">
        <v>1000000</v>
      </c>
      <c r="E14" s="10">
        <f>D14/$D$17</f>
        <v/>
      </c>
      <c r="F14" s="8" t="inlineStr">
        <is>
          <t>Engineered Benchmark Reference</t>
        </is>
      </c>
    </row>
    <row r="15" ht="22" customHeight="1">
      <c r="A15" s="7" t="n">
        <v>8</v>
      </c>
      <c r="B15" s="8" t="inlineStr">
        <is>
          <t>Phase 1 Contingency</t>
        </is>
      </c>
      <c r="C15" s="7" t="inlineStr">
        <is>
          <t>Lump Sum / Itemized</t>
        </is>
      </c>
      <c r="D15" s="9" t="n">
        <v>5000000</v>
      </c>
      <c r="E15" s="10">
        <f>D15/$D$17</f>
        <v/>
      </c>
      <c r="F15" s="8" t="inlineStr">
        <is>
          <t>Engineered Benchmark Reference</t>
        </is>
      </c>
    </row>
    <row r="16" ht="22" customHeight="1">
      <c r="A16" s="7" t="n">
        <v>9</v>
      </c>
      <c r="B16" s="8" t="inlineStr">
        <is>
          <t>Full 2GW Scale Multiplier (20x Phases)</t>
        </is>
      </c>
      <c r="C16" s="7" t="inlineStr">
        <is>
          <t>Lump Sum / Itemized</t>
        </is>
      </c>
      <c r="D16" s="9" t="n">
        <v>1662500000</v>
      </c>
      <c r="E16" s="10">
        <f>D16/$D$17</f>
        <v/>
      </c>
      <c r="F16" s="8" t="inlineStr">
        <is>
          <t>Engineered Benchmark Reference</t>
        </is>
      </c>
    </row>
    <row r="17" ht="26" customHeight="1">
      <c r="B17" s="11" t="inlineStr">
        <is>
          <t>TOTAL MODELED CAPITAL EXPENDITURE</t>
        </is>
      </c>
      <c r="D17" s="12">
        <f>SUM(D8:D16)</f>
        <v/>
      </c>
      <c r="E17" s="13">
        <f>SUM(E8:E16)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8" customWidth="1" min="2" max="2"/>
    <col width="14" customWidth="1" min="3" max="3"/>
    <col width="14" customWidth="1" min="4" max="4"/>
    <col width="14" customWidth="1" min="5" max="5"/>
    <col width="21" customWidth="1" min="6" max="6"/>
    <col width="21" customWidth="1" min="7" max="7"/>
    <col width="20" customWidth="1" min="8" max="8"/>
    <col width="21" customWidth="1" min="9" max="9"/>
    <col width="20" customWidth="1" min="10" max="10"/>
    <col width="21" customWidth="1" min="11" max="11"/>
    <col width="20" customWidth="1" min="12" max="12"/>
  </cols>
  <sheetData>
    <row r="1" ht="30" customHeight="1">
      <c r="A1" s="14" t="inlineStr">
        <is>
          <t>10-YEAR FINANCIAL PRO-FORMA &amp; RETURN ANALYSIS (2GW FACILITY)</t>
        </is>
      </c>
    </row>
    <row r="2"/>
    <row r="3" ht="24" customHeight="1">
      <c r="A3" s="6" t="inlineStr">
        <is>
          <t>Metric / Year</t>
        </is>
      </c>
      <c r="B3" s="6" t="inlineStr">
        <is>
          <t>Year 0 (CapEx)</t>
        </is>
      </c>
      <c r="C3" s="6" t="inlineStr">
        <is>
          <t>Year 1</t>
        </is>
      </c>
      <c r="D3" s="6" t="inlineStr">
        <is>
          <t>Year 2</t>
        </is>
      </c>
      <c r="E3" s="6" t="inlineStr">
        <is>
          <t>Year 3</t>
        </is>
      </c>
      <c r="F3" s="6" t="inlineStr">
        <is>
          <t>Year 4</t>
        </is>
      </c>
      <c r="G3" s="6" t="inlineStr">
        <is>
          <t>Year 5</t>
        </is>
      </c>
      <c r="H3" s="6" t="inlineStr">
        <is>
          <t>Year 6</t>
        </is>
      </c>
      <c r="I3" s="6" t="inlineStr">
        <is>
          <t>Year 7</t>
        </is>
      </c>
      <c r="J3" s="6" t="inlineStr">
        <is>
          <t>Year 8</t>
        </is>
      </c>
      <c r="K3" s="6" t="inlineStr">
        <is>
          <t>Year 9</t>
        </is>
      </c>
      <c r="L3" s="6" t="inlineStr">
        <is>
          <t>Year 10</t>
        </is>
      </c>
    </row>
    <row r="4" ht="20" customHeight="1">
      <c r="A4" s="8" t="inlineStr">
        <is>
          <t>Gross Revenue (Capacity Lease @ $140/kW/mo)</t>
        </is>
      </c>
      <c r="B4" s="15" t="n">
        <v>0</v>
      </c>
      <c r="C4" s="9" t="n">
        <v>350000000</v>
      </c>
      <c r="D4" s="9" t="n">
        <v>360500000</v>
      </c>
      <c r="E4" s="9" t="n">
        <v>371315000</v>
      </c>
      <c r="F4" s="9" t="n">
        <v>382454450</v>
      </c>
      <c r="G4" s="9" t="n">
        <v>393928083.5000001</v>
      </c>
      <c r="H4" s="9" t="n">
        <v>405745926.005</v>
      </c>
      <c r="I4" s="9" t="n">
        <v>417918303.7851501</v>
      </c>
      <c r="J4" s="9" t="n">
        <v>430455852.8987046</v>
      </c>
      <c r="K4" s="9" t="n">
        <v>443369528.4856657</v>
      </c>
      <c r="L4" s="9" t="n">
        <v>456670614.3402357</v>
      </c>
    </row>
    <row r="5" ht="20" customHeight="1">
      <c r="A5" s="8" t="inlineStr">
        <is>
          <t>Facility OpEx (Power, Cooling, FM)</t>
        </is>
      </c>
      <c r="B5" s="15" t="n">
        <v>0</v>
      </c>
      <c r="C5" s="9" t="n">
        <v>40000000</v>
      </c>
      <c r="D5" s="9" t="n">
        <v>41000000</v>
      </c>
      <c r="E5" s="9" t="n">
        <v>42025000</v>
      </c>
      <c r="F5" s="9" t="n">
        <v>43075624.99999999</v>
      </c>
      <c r="G5" s="9" t="n">
        <v>44152515.62499999</v>
      </c>
      <c r="H5" s="9" t="n">
        <v>45256328.51562498</v>
      </c>
      <c r="I5" s="9" t="n">
        <v>46387736.7285156</v>
      </c>
      <c r="J5" s="9" t="n">
        <v>47547430.14672849</v>
      </c>
      <c r="K5" s="9" t="n">
        <v>48736115.90039669</v>
      </c>
      <c r="L5" s="9" t="n">
        <v>49954518.79790661</v>
      </c>
    </row>
    <row r="6" ht="20" customHeight="1">
      <c r="A6" s="16" t="inlineStr">
        <is>
          <t>Net Operating Income (NOI)</t>
        </is>
      </c>
      <c r="B6" s="17" t="inlineStr">
        <is>
          <t>-</t>
        </is>
      </c>
      <c r="C6" s="18">
        <f>C4-C5</f>
        <v/>
      </c>
      <c r="D6" s="18">
        <f>D4-D5</f>
        <v/>
      </c>
      <c r="E6" s="18">
        <f>E4-E5</f>
        <v/>
      </c>
      <c r="F6" s="18">
        <f>F4-F5</f>
        <v/>
      </c>
      <c r="G6" s="18">
        <f>G4-G5</f>
        <v/>
      </c>
      <c r="H6" s="18">
        <f>H4-H5</f>
        <v/>
      </c>
      <c r="I6" s="18">
        <f>I4-I5</f>
        <v/>
      </c>
      <c r="J6" s="18">
        <f>J4-J5</f>
        <v/>
      </c>
      <c r="K6" s="18">
        <f>K4-K5</f>
        <v/>
      </c>
      <c r="L6" s="18">
        <f>L4-L5</f>
        <v/>
      </c>
    </row>
    <row r="7" ht="20" customHeight="1">
      <c r="A7" s="8" t="inlineStr">
        <is>
          <t>Debt Service (P&amp;I 6.5% 15yr)</t>
        </is>
      </c>
      <c r="B7" s="15" t="n">
        <v>0</v>
      </c>
      <c r="C7" s="9" t="n">
        <v>70000000</v>
      </c>
      <c r="D7" s="9" t="n">
        <v>70000000</v>
      </c>
      <c r="E7" s="9" t="n">
        <v>70000000</v>
      </c>
      <c r="F7" s="9" t="n">
        <v>70000000</v>
      </c>
      <c r="G7" s="9" t="n">
        <v>70000000</v>
      </c>
      <c r="H7" s="9" t="n">
        <v>70000000</v>
      </c>
      <c r="I7" s="9" t="n">
        <v>70000000</v>
      </c>
      <c r="J7" s="9" t="n">
        <v>70000000</v>
      </c>
      <c r="K7" s="9" t="n">
        <v>70000000</v>
      </c>
      <c r="L7" s="9" t="n">
        <v>70000000</v>
      </c>
    </row>
    <row r="8" ht="20" customHeight="1">
      <c r="A8" s="16" t="inlineStr">
        <is>
          <t>Free Cash Flow to Equity (FCFE)</t>
        </is>
      </c>
      <c r="B8" s="19">
        <f>-'Executive Summary'!D17</f>
        <v/>
      </c>
      <c r="C8" s="18">
        <f>C6-C7</f>
        <v/>
      </c>
      <c r="D8" s="18">
        <f>D6-D7</f>
        <v/>
      </c>
      <c r="E8" s="18">
        <f>E6-E7</f>
        <v/>
      </c>
      <c r="F8" s="18">
        <f>F6-F7</f>
        <v/>
      </c>
      <c r="G8" s="18">
        <f>G6-G7</f>
        <v/>
      </c>
      <c r="H8" s="18">
        <f>H6-H7</f>
        <v/>
      </c>
      <c r="I8" s="18">
        <f>I6-I7</f>
        <v/>
      </c>
      <c r="J8" s="18">
        <f>J6-J7</f>
        <v/>
      </c>
      <c r="K8" s="18">
        <f>K6-K7</f>
        <v/>
      </c>
      <c r="L8" s="18">
        <f>L6-L7</f>
        <v/>
      </c>
    </row>
    <row r="9" ht="20" customHeight="1">
      <c r="A9" s="16" t="inlineStr">
        <is>
          <t>Cumulative Cash Flow</t>
        </is>
      </c>
      <c r="B9" s="15">
        <f>B8</f>
        <v/>
      </c>
      <c r="C9" s="18">
        <f>B9+C8</f>
        <v/>
      </c>
      <c r="D9" s="18">
        <f>C9+D8</f>
        <v/>
      </c>
      <c r="E9" s="18">
        <f>D9+E8</f>
        <v/>
      </c>
      <c r="F9" s="18">
        <f>E9+F8</f>
        <v/>
      </c>
      <c r="G9" s="18">
        <f>F9+G8</f>
        <v/>
      </c>
      <c r="H9" s="18">
        <f>G9+H8</f>
        <v/>
      </c>
      <c r="I9" s="18">
        <f>H9+I8</f>
        <v/>
      </c>
      <c r="J9" s="18">
        <f>I9+J8</f>
        <v/>
      </c>
      <c r="K9" s="18">
        <f>J9+K8</f>
        <v/>
      </c>
      <c r="L9" s="18">
        <f>K9+L8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2026-10-04T07:13:44Z</dcterms:created>
  <dcterms:modified xmlns:dcterms="http://purl.org/dc/terms/" xmlns:xsi="http://www.w3.org/2001/XMLSchema-instance" xsi:type="dcterms:W3CDTF">2026-10-04T07:13:44Z</dcterms:modified>
</cp:coreProperties>
</file>