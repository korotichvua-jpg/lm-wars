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ode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B365D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9" customWidth="1" min="4" max="4"/>
    <col width="23" customWidth="1" min="5" max="5"/>
    <col width="17" customWidth="1" min="6" max="6"/>
    <col width="21" customWidth="1" min="7" max="7"/>
    <col width="69" customWidth="1" min="8" max="8"/>
  </cols>
  <sheetData>
    <row r="1" ht="36" customHeight="1">
      <c r="A1" s="1" t="inlineStr">
        <is>
          <t>TEXAS 2GW AI DATA CENTER: CROSS-MODEL BENCHMARK ANALYSIS</t>
        </is>
      </c>
    </row>
    <row r="2"/>
    <row r="3" ht="26" customHeight="1">
      <c r="A3" s="2" t="inlineStr">
        <is>
          <t>Model Name</t>
        </is>
      </c>
      <c r="B3" s="2" t="inlineStr">
        <is>
          <t>CapEx Low ($)</t>
        </is>
      </c>
      <c r="C3" s="2" t="inlineStr">
        <is>
          <t>CapEx High ($)</t>
        </is>
      </c>
      <c r="D3" s="2" t="inlineStr">
        <is>
          <t>CapEx Mid ($)</t>
        </is>
      </c>
      <c r="E3" s="2" t="inlineStr">
        <is>
          <t>Est. Annual OpEx ($)</t>
        </is>
      </c>
      <c r="F3" s="2" t="inlineStr">
        <is>
          <t>Facility Sq Ft</t>
        </is>
      </c>
      <c r="G3" s="2" t="inlineStr">
        <is>
          <t>CapEx / Watt ($/W)</t>
        </is>
      </c>
      <c r="H3" s="2" t="inlineStr">
        <is>
          <t>Strategic Focus</t>
        </is>
      </c>
    </row>
    <row r="4" ht="22" customHeight="1">
      <c r="A4" s="3" t="inlineStr">
        <is>
          <t>Llama 3.3 70B Instruct</t>
        </is>
      </c>
      <c r="B4" s="4" t="n">
        <v>543000000</v>
      </c>
      <c r="C4" s="4" t="n">
        <v>943000000</v>
      </c>
      <c r="D4" s="5" t="n">
        <v>743000000</v>
      </c>
      <c r="E4" s="4" t="n">
        <v>120000000</v>
      </c>
      <c r="F4" s="6" t="inlineStr">
        <is>
          <t>1,400,000</t>
        </is>
      </c>
      <c r="G4" s="7">
        <f>D4/2000000000</f>
        <v/>
      </c>
      <c r="H4" s="8" t="inlineStr">
        <is>
          <t>Granular MEP, Physical Tier-IV Security, Structural Breakdown</t>
        </is>
      </c>
    </row>
    <row r="5" ht="22" customHeight="1">
      <c r="A5" s="3" t="inlineStr">
        <is>
          <t>Google Gemma 4 E4B</t>
        </is>
      </c>
      <c r="B5" s="4" t="n">
        <v>2900000000</v>
      </c>
      <c r="C5" s="4" t="n">
        <v>5600000000</v>
      </c>
      <c r="D5" s="5" t="n">
        <v>4250000000</v>
      </c>
      <c r="E5" s="4" t="n">
        <v>1600000000</v>
      </c>
      <c r="F5" s="6" t="inlineStr">
        <is>
          <t>2,500,000</t>
        </is>
      </c>
      <c r="G5" s="7">
        <f>D5/2000000000</f>
        <v/>
      </c>
      <c r="H5" s="8" t="inlineStr">
        <is>
          <t>Institutional Investment Memo, Substation &amp; 2GW ERCOT Interconnect</t>
        </is>
      </c>
    </row>
    <row r="6" ht="22" customHeight="1">
      <c r="A6" s="3" t="inlineStr">
        <is>
          <t>Mistral Small 24B Instruct</t>
        </is>
      </c>
      <c r="B6" s="4" t="n">
        <v>2422000000</v>
      </c>
      <c r="C6" s="4" t="n">
        <v>2664200000</v>
      </c>
      <c r="D6" s="5" t="n">
        <v>2664200000</v>
      </c>
      <c r="E6" s="4" t="n">
        <v>100000000</v>
      </c>
      <c r="F6" s="6" t="inlineStr">
        <is>
          <t>1,000,000</t>
        </is>
      </c>
      <c r="G6" s="7">
        <f>D6/2000000000</f>
        <v/>
      </c>
      <c r="H6" s="8" t="inlineStr">
        <is>
          <t>Unit-Cost Scaled (2,000,000 kW Load Modeling)</t>
        </is>
      </c>
    </row>
    <row r="7" ht="22" customHeight="1">
      <c r="A7" s="3" t="inlineStr">
        <is>
          <t>DeepSeek R1 Distill Qwen 14B</t>
        </is>
      </c>
      <c r="B7" s="4" t="n">
        <v>925000000</v>
      </c>
      <c r="C7" s="4" t="n">
        <v>1000000000</v>
      </c>
      <c r="D7" s="5" t="n">
        <v>962500000</v>
      </c>
      <c r="E7" s="4" t="n">
        <v>100000000</v>
      </c>
      <c r="F7" s="6" t="inlineStr">
        <is>
          <t>1,000,000</t>
        </is>
      </c>
      <c r="G7" s="7">
        <f>D7/2000000000</f>
        <v/>
      </c>
      <c r="H7" s="8" t="inlineStr">
        <is>
          <t>Reasoning Analysis, 5-Year TCO Forecast</t>
        </is>
      </c>
    </row>
    <row r="8" ht="22" customHeight="1">
      <c r="A8" s="3" t="inlineStr">
        <is>
          <t>Cerberus 4B v2 Abliterated</t>
        </is>
      </c>
      <c r="B8" s="4" t="n">
        <v>1800000000</v>
      </c>
      <c r="C8" s="4" t="n">
        <v>3200000000</v>
      </c>
      <c r="D8" s="5" t="n">
        <v>2500000000</v>
      </c>
      <c r="E8" s="4" t="n">
        <v>210000000</v>
      </c>
      <c r="F8" s="6" t="inlineStr">
        <is>
          <t>2,000,000</t>
        </is>
      </c>
      <c r="G8" s="7">
        <f>D8/2000000000</f>
        <v/>
      </c>
      <c r="H8" s="8" t="inlineStr">
        <is>
          <t>Regional Texas Matrix (DFW vs Permian), Liquid Immersion Racks</t>
        </is>
      </c>
    </row>
    <row r="9" ht="22" customHeight="1">
      <c r="A9" s="3" t="inlineStr">
        <is>
          <t>Cerberus v0.1</t>
        </is>
      </c>
      <c r="B9" s="4" t="n">
        <v>500000000</v>
      </c>
      <c r="C9" s="4" t="n">
        <v>750000000</v>
      </c>
      <c r="D9" s="5" t="n">
        <v>625000000</v>
      </c>
      <c r="E9" s="4" t="n">
        <v>85000000</v>
      </c>
      <c r="F9" s="6" t="inlineStr">
        <is>
          <t>800,000</t>
        </is>
      </c>
      <c r="G9" s="7">
        <f>D9/2000000000</f>
        <v/>
      </c>
      <c r="H9" s="8" t="inlineStr">
        <is>
          <t>Base Greenfield Core &amp; Shell Estimate</t>
        </is>
      </c>
    </row>
    <row r="10" ht="22" customHeight="1">
      <c r="A10" s="3" t="inlineStr">
        <is>
          <t>Qwen 2.5 32B Instruct</t>
        </is>
      </c>
      <c r="B10" s="4" t="n">
        <v>87500000</v>
      </c>
      <c r="C10" s="4" t="n">
        <v>1750000000</v>
      </c>
      <c r="D10" s="5" t="n">
        <v>875000000</v>
      </c>
      <c r="E10" s="4" t="n">
        <v>40000000</v>
      </c>
      <c r="F10" s="6" t="inlineStr">
        <is>
          <t>100,000</t>
        </is>
      </c>
      <c r="G10" s="7">
        <f>D10/2000000000</f>
        <v/>
      </c>
      <c r="H10" s="8" t="inlineStr">
        <is>
          <t>Modular Phase 1 Pilot to 2GW Scale-Out</t>
        </is>
      </c>
    </row>
    <row r="11" ht="22" customHeight="1">
      <c r="A11" s="3" t="inlineStr">
        <is>
          <t>Qwen 2.5 Coder 14B Instruct</t>
        </is>
      </c>
      <c r="B11" s="4" t="n">
        <v>90000000</v>
      </c>
      <c r="C11" s="4" t="n">
        <v>1500000000</v>
      </c>
      <c r="D11" s="5" t="n">
        <v>750000000</v>
      </c>
      <c r="E11" s="4" t="n">
        <v>65000000</v>
      </c>
      <c r="F11" s="6" t="inlineStr">
        <is>
          <t>500,000</t>
        </is>
      </c>
      <c r="G11" s="7">
        <f>D11/2000000000</f>
        <v/>
      </c>
      <c r="H11" s="8" t="inlineStr">
        <is>
          <t>8-Sheet Parameterized Financial Engine Schema</t>
        </is>
      </c>
    </row>
    <row r="12" ht="26" customHeight="1">
      <c r="A12" s="9" t="inlineStr">
        <is>
          <t>INDUSTRY BENCHMARK AVERAGE</t>
        </is>
      </c>
      <c r="B12" s="10">
        <f>AVERAGE(B4:B11)</f>
        <v/>
      </c>
      <c r="C12" s="10">
        <f>AVERAGE(C4:C11)</f>
        <v/>
      </c>
      <c r="D12" s="10">
        <f>AVERAGE(D4:D11)</f>
        <v/>
      </c>
      <c r="E12" s="10">
        <f>AVERAGE(E4:E11)</f>
        <v/>
      </c>
      <c r="G12" s="11">
        <f>AVERAGE(G4:G11)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