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46" customWidth="1" min="2" max="2"/>
    <col width="23" customWidth="1" min="3" max="3"/>
    <col width="24" customWidth="1" min="4" max="4"/>
    <col width="65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Cerberus 4B v2 Abliterated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2,000,000 sq ft</t>
        </is>
      </c>
      <c r="C5" s="5" t="n">
        <v>2500000000</v>
      </c>
      <c r="D5" s="5" t="n">
        <v>210000000</v>
      </c>
      <c r="E5" s="4" t="inlineStr">
        <is>
          <t>Regional Texas Matrix (DFW vs Permian), Liquid Immersion Racks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Site Acquisition &amp; Water Rights (ERCOT)</t>
        </is>
      </c>
      <c r="C8" s="7" t="inlineStr">
        <is>
          <t>Lump Sum / Itemized</t>
        </is>
      </c>
      <c r="D8" s="9" t="n">
        <v>80000000</v>
      </c>
      <c r="E8" s="10">
        <f>D8/$D$14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Reinforced Structural Hardening</t>
        </is>
      </c>
      <c r="C9" s="7" t="inlineStr">
        <is>
          <t>Lump Sum / Itemized</t>
        </is>
      </c>
      <c r="D9" s="9" t="n">
        <v>420000000</v>
      </c>
      <c r="E9" s="10">
        <f>D9/$D$14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Substation &amp; Dual-Grid High Voltage Infeeds</t>
        </is>
      </c>
      <c r="C10" s="7" t="inlineStr">
        <is>
          <t>Lump Sum / Itemized</t>
        </is>
      </c>
      <c r="D10" s="9" t="n">
        <v>1100000000</v>
      </c>
      <c r="E10" s="10">
        <f>D10/$D$14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Two-Phase Liquid Immersion Cooling Plant</t>
        </is>
      </c>
      <c r="C11" s="7" t="inlineStr">
        <is>
          <t>Lump Sum / Itemized</t>
        </is>
      </c>
      <c r="D11" s="9" t="n">
        <v>450000000</v>
      </c>
      <c r="E11" s="10">
        <f>D11/$D$14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Spine-Leaf Optical Compute Matrix</t>
        </is>
      </c>
      <c r="C12" s="7" t="inlineStr">
        <is>
          <t>Lump Sum / Itemized</t>
        </is>
      </c>
      <c r="D12" s="9" t="n">
        <v>300000000</v>
      </c>
      <c r="E12" s="10">
        <f>D12/$D$14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Contingency Buffer &amp; Project Management</t>
        </is>
      </c>
      <c r="C13" s="7" t="inlineStr">
        <is>
          <t>Lump Sum / Itemized</t>
        </is>
      </c>
      <c r="D13" s="9" t="n">
        <v>150000000</v>
      </c>
      <c r="E13" s="10">
        <f>D13/$D$14</f>
        <v/>
      </c>
      <c r="F13" s="8" t="inlineStr">
        <is>
          <t>Engineered Benchmark Reference</t>
        </is>
      </c>
    </row>
    <row r="14" ht="26" customHeight="1">
      <c r="B14" s="11" t="inlineStr">
        <is>
          <t>TOTAL MODELED CAPITAL EXPENDITURE</t>
        </is>
      </c>
      <c r="D14" s="12">
        <f>SUM(D8:D13)</f>
        <v/>
      </c>
      <c r="E14" s="13">
        <f>SUM(E8:E13)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1000000000</v>
      </c>
      <c r="D4" s="9" t="n">
        <v>1030000000</v>
      </c>
      <c r="E4" s="9" t="n">
        <v>1060900000</v>
      </c>
      <c r="F4" s="9" t="n">
        <v>1092727000</v>
      </c>
      <c r="G4" s="9" t="n">
        <v>1125508810</v>
      </c>
      <c r="H4" s="9" t="n">
        <v>1159274074.3</v>
      </c>
      <c r="I4" s="9" t="n">
        <v>1194052296.529</v>
      </c>
      <c r="J4" s="9" t="n">
        <v>1229873865.42487</v>
      </c>
      <c r="K4" s="9" t="n">
        <v>1266770081.387616</v>
      </c>
      <c r="L4" s="9" t="n">
        <v>1304773183.829245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210000000</v>
      </c>
      <c r="D5" s="9" t="n">
        <v>215250000</v>
      </c>
      <c r="E5" s="9" t="n">
        <v>220631250</v>
      </c>
      <c r="F5" s="9" t="n">
        <v>226147031.2499999</v>
      </c>
      <c r="G5" s="9" t="n">
        <v>231800707.0312499</v>
      </c>
      <c r="H5" s="9" t="n">
        <v>237595724.7070311</v>
      </c>
      <c r="I5" s="9" t="n">
        <v>243535617.8247069</v>
      </c>
      <c r="J5" s="9" t="n">
        <v>249624008.2703246</v>
      </c>
      <c r="K5" s="9" t="n">
        <v>255864608.4770826</v>
      </c>
      <c r="L5" s="9" t="n">
        <v>262261223.6890097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200000000</v>
      </c>
      <c r="D7" s="9" t="n">
        <v>200000000</v>
      </c>
      <c r="E7" s="9" t="n">
        <v>200000000</v>
      </c>
      <c r="F7" s="9" t="n">
        <v>200000000</v>
      </c>
      <c r="G7" s="9" t="n">
        <v>200000000</v>
      </c>
      <c r="H7" s="9" t="n">
        <v>200000000</v>
      </c>
      <c r="I7" s="9" t="n">
        <v>200000000</v>
      </c>
      <c r="J7" s="9" t="n">
        <v>200000000</v>
      </c>
      <c r="K7" s="9" t="n">
        <v>200000000</v>
      </c>
      <c r="L7" s="9" t="n">
        <v>200000000</v>
      </c>
    </row>
    <row r="8" ht="20" customHeight="1">
      <c r="A8" s="16" t="inlineStr">
        <is>
          <t>Free Cash Flow to Equity (FCFE)</t>
        </is>
      </c>
      <c r="B8" s="19">
        <f>-'Executive Summary'!D14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