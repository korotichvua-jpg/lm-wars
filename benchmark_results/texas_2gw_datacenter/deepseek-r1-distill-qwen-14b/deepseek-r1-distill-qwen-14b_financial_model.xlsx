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45" customWidth="1" min="2" max="2"/>
    <col width="23" customWidth="1" min="3" max="3"/>
    <col width="24" customWidth="1" min="4" max="4"/>
    <col width="42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DeepSeek R1 Distill Qwen 14B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1,000,000 sq ft</t>
        </is>
      </c>
      <c r="C5" s="5" t="n">
        <v>962500000</v>
      </c>
      <c r="D5" s="5" t="n">
        <v>100000000</v>
      </c>
      <c r="E5" s="4" t="inlineStr">
        <is>
          <t>Reasoning Analysis, 5-Year TCO Forecast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Dallas-Fort Worth Land Acquisition</t>
        </is>
      </c>
      <c r="C8" s="7" t="inlineStr">
        <is>
          <t>Lump Sum / Itemized</t>
        </is>
      </c>
      <c r="D8" s="9" t="n">
        <v>15000000</v>
      </c>
      <c r="E8" s="10">
        <f>D8/$D$15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Tier IV Building Construction ($350/sq ft)</t>
        </is>
      </c>
      <c r="C9" s="7" t="inlineStr">
        <is>
          <t>Lump Sum / Itemized</t>
        </is>
      </c>
      <c r="D9" s="9" t="n">
        <v>350000000</v>
      </c>
      <c r="E9" s="10">
        <f>D9/$D$15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Power Distribution &amp; Chiller Systems</t>
        </is>
      </c>
      <c r="C10" s="7" t="inlineStr">
        <is>
          <t>Lump Sum / Itemized</t>
        </is>
      </c>
      <c r="D10" s="9" t="n">
        <v>150000000</v>
      </c>
      <c r="E10" s="10">
        <f>D10/$D$15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High-Performance Servers &amp; Networking</t>
        </is>
      </c>
      <c r="C11" s="7" t="inlineStr">
        <is>
          <t>Lump Sum / Itemized</t>
        </is>
      </c>
      <c r="D11" s="9" t="n">
        <v>250000000</v>
      </c>
      <c r="E11" s="10">
        <f>D11/$D$15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Permits, Environmental &amp; Training Programs</t>
        </is>
      </c>
      <c r="C12" s="7" t="inlineStr">
        <is>
          <t>Lump Sum / Itemized</t>
        </is>
      </c>
      <c r="D12" s="9" t="n">
        <v>40000000</v>
      </c>
      <c r="E12" s="10">
        <f>D12/$D$15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Contingency Reserve (10%)</t>
        </is>
      </c>
      <c r="C13" s="7" t="inlineStr">
        <is>
          <t>Lump Sum / Itemized</t>
        </is>
      </c>
      <c r="D13" s="9" t="n">
        <v>70000000</v>
      </c>
      <c r="E13" s="10">
        <f>D13/$D$15</f>
        <v/>
      </c>
      <c r="F13" s="8" t="inlineStr">
        <is>
          <t>Engineered Benchmark Reference</t>
        </is>
      </c>
    </row>
    <row r="14" ht="22" customHeight="1">
      <c r="A14" s="7" t="n">
        <v>7</v>
      </c>
      <c r="B14" s="8" t="inlineStr">
        <is>
          <t>5-Year Cumulative Operating Reserve</t>
        </is>
      </c>
      <c r="C14" s="7" t="inlineStr">
        <is>
          <t>Lump Sum / Itemized</t>
        </is>
      </c>
      <c r="D14" s="9" t="n">
        <v>500000000</v>
      </c>
      <c r="E14" s="10">
        <f>D14/$D$15</f>
        <v/>
      </c>
      <c r="F14" s="8" t="inlineStr">
        <is>
          <t>Engineered Benchmark Reference</t>
        </is>
      </c>
    </row>
    <row r="15" ht="26" customHeight="1">
      <c r="B15" s="11" t="inlineStr">
        <is>
          <t>TOTAL MODELED CAPITAL EXPENDITURE</t>
        </is>
      </c>
      <c r="D15" s="12">
        <f>SUM(D8:D14)</f>
        <v/>
      </c>
      <c r="E15" s="13">
        <f>SUM(E8:E14)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385000000</v>
      </c>
      <c r="D4" s="9" t="n">
        <v>396550000</v>
      </c>
      <c r="E4" s="9" t="n">
        <v>408446500</v>
      </c>
      <c r="F4" s="9" t="n">
        <v>420699895</v>
      </c>
      <c r="G4" s="9" t="n">
        <v>433320891.85</v>
      </c>
      <c r="H4" s="9" t="n">
        <v>446320518.6055</v>
      </c>
      <c r="I4" s="9" t="n">
        <v>459710134.1636651</v>
      </c>
      <c r="J4" s="9" t="n">
        <v>473501438.188575</v>
      </c>
      <c r="K4" s="9" t="n">
        <v>487706481.3342323</v>
      </c>
      <c r="L4" s="9" t="n">
        <v>502337675.7742593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100000000</v>
      </c>
      <c r="D5" s="9" t="n">
        <v>102500000</v>
      </c>
      <c r="E5" s="9" t="n">
        <v>105062500</v>
      </c>
      <c r="F5" s="9" t="n">
        <v>107689062.5</v>
      </c>
      <c r="G5" s="9" t="n">
        <v>110381289.0625</v>
      </c>
      <c r="H5" s="9" t="n">
        <v>113140821.2890624</v>
      </c>
      <c r="I5" s="9" t="n">
        <v>115969341.821289</v>
      </c>
      <c r="J5" s="9" t="n">
        <v>118868575.3668212</v>
      </c>
      <c r="K5" s="9" t="n">
        <v>121840289.7509917</v>
      </c>
      <c r="L5" s="9" t="n">
        <v>124886296.9947665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77000000</v>
      </c>
      <c r="D7" s="9" t="n">
        <v>77000000</v>
      </c>
      <c r="E7" s="9" t="n">
        <v>77000000</v>
      </c>
      <c r="F7" s="9" t="n">
        <v>77000000</v>
      </c>
      <c r="G7" s="9" t="n">
        <v>77000000</v>
      </c>
      <c r="H7" s="9" t="n">
        <v>77000000</v>
      </c>
      <c r="I7" s="9" t="n">
        <v>77000000</v>
      </c>
      <c r="J7" s="9" t="n">
        <v>77000000</v>
      </c>
      <c r="K7" s="9" t="n">
        <v>77000000</v>
      </c>
      <c r="L7" s="9" t="n">
        <v>77000000</v>
      </c>
    </row>
    <row r="8" ht="20" customHeight="1">
      <c r="A8" s="16" t="inlineStr">
        <is>
          <t>Free Cash Flow to Equity (FCFE)</t>
        </is>
      </c>
      <c r="B8" s="19">
        <f>-'Executive Summary'!D15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