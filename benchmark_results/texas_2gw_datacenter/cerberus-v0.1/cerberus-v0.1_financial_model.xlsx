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40" customWidth="1" min="2" max="2"/>
    <col width="23" customWidth="1" min="3" max="3"/>
    <col width="24" customWidth="1" min="4" max="4"/>
    <col width="40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Cerberus v0.1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800,000 sq ft</t>
        </is>
      </c>
      <c r="C5" s="5" t="n">
        <v>625000000</v>
      </c>
      <c r="D5" s="5" t="n">
        <v>85000000</v>
      </c>
      <c r="E5" s="4" t="inlineStr">
        <is>
          <t>Base Greenfield Core &amp; Shell Estimate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Greenfield Site Land Acquisition</t>
        </is>
      </c>
      <c r="C8" s="7" t="inlineStr">
        <is>
          <t>Lump Sum / Itemized</t>
        </is>
      </c>
      <c r="D8" s="9" t="n">
        <v>10000000</v>
      </c>
      <c r="E8" s="10">
        <f>D8/$D$14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Site Grading &amp; Utilities Installation</t>
        </is>
      </c>
      <c r="C9" s="7" t="inlineStr">
        <is>
          <t>Lump Sum / Itemized</t>
        </is>
      </c>
      <c r="D9" s="9" t="n">
        <v>5000000</v>
      </c>
      <c r="E9" s="10">
        <f>D9/$D$14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Shell Building Construction</t>
        </is>
      </c>
      <c r="C10" s="7" t="inlineStr">
        <is>
          <t>Lump Sum / Itemized</t>
        </is>
      </c>
      <c r="D10" s="9" t="n">
        <v>30000000</v>
      </c>
      <c r="E10" s="10">
        <f>D10/$D$14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Core Mechanical &amp; Electrical Systems</t>
        </is>
      </c>
      <c r="C11" s="7" t="inlineStr">
        <is>
          <t>Lump Sum / Itemized</t>
        </is>
      </c>
      <c r="D11" s="9" t="n">
        <v>450000000</v>
      </c>
      <c r="E11" s="10">
        <f>D11/$D$14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Commissioning &amp; Fit-Out</t>
        </is>
      </c>
      <c r="C12" s="7" t="inlineStr">
        <is>
          <t>Lump Sum / Itemized</t>
        </is>
      </c>
      <c r="D12" s="9" t="n">
        <v>110000000</v>
      </c>
      <c r="E12" s="10">
        <f>D12/$D$14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Contingency Funds</t>
        </is>
      </c>
      <c r="C13" s="7" t="inlineStr">
        <is>
          <t>Lump Sum / Itemized</t>
        </is>
      </c>
      <c r="D13" s="9" t="n">
        <v>20000000</v>
      </c>
      <c r="E13" s="10">
        <f>D13/$D$14</f>
        <v/>
      </c>
      <c r="F13" s="8" t="inlineStr">
        <is>
          <t>Engineered Benchmark Reference</t>
        </is>
      </c>
    </row>
    <row r="14" ht="26" customHeight="1">
      <c r="B14" s="11" t="inlineStr">
        <is>
          <t>TOTAL MODELED CAPITAL EXPENDITURE</t>
        </is>
      </c>
      <c r="D14" s="12">
        <f>SUM(D8:D13)</f>
        <v/>
      </c>
      <c r="E14" s="13">
        <f>SUM(E8:E13)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20" customWidth="1" min="4" max="4"/>
    <col width="14" customWidth="1" min="5" max="5"/>
    <col width="20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250000000</v>
      </c>
      <c r="D4" s="9" t="n">
        <v>257500000</v>
      </c>
      <c r="E4" s="9" t="n">
        <v>265225000</v>
      </c>
      <c r="F4" s="9" t="n">
        <v>273181750</v>
      </c>
      <c r="G4" s="9" t="n">
        <v>281377202.5000001</v>
      </c>
      <c r="H4" s="9" t="n">
        <v>289818518.575</v>
      </c>
      <c r="I4" s="9" t="n">
        <v>298513074.13225</v>
      </c>
      <c r="J4" s="9" t="n">
        <v>307468466.3562176</v>
      </c>
      <c r="K4" s="9" t="n">
        <v>316692520.3469041</v>
      </c>
      <c r="L4" s="9" t="n">
        <v>326193295.9573112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85000000</v>
      </c>
      <c r="D5" s="9" t="n">
        <v>87124999.99999999</v>
      </c>
      <c r="E5" s="9" t="n">
        <v>89303125</v>
      </c>
      <c r="F5" s="9" t="n">
        <v>91535703.12499997</v>
      </c>
      <c r="G5" s="9" t="n">
        <v>93824095.70312496</v>
      </c>
      <c r="H5" s="9" t="n">
        <v>96169698.09570308</v>
      </c>
      <c r="I5" s="9" t="n">
        <v>98573940.54809564</v>
      </c>
      <c r="J5" s="9" t="n">
        <v>101038289.061798</v>
      </c>
      <c r="K5" s="9" t="n">
        <v>103564246.288343</v>
      </c>
      <c r="L5" s="9" t="n">
        <v>106153352.4455515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50000000</v>
      </c>
      <c r="D7" s="9" t="n">
        <v>50000000</v>
      </c>
      <c r="E7" s="9" t="n">
        <v>50000000</v>
      </c>
      <c r="F7" s="9" t="n">
        <v>50000000</v>
      </c>
      <c r="G7" s="9" t="n">
        <v>50000000</v>
      </c>
      <c r="H7" s="9" t="n">
        <v>50000000</v>
      </c>
      <c r="I7" s="9" t="n">
        <v>50000000</v>
      </c>
      <c r="J7" s="9" t="n">
        <v>50000000</v>
      </c>
      <c r="K7" s="9" t="n">
        <v>50000000</v>
      </c>
      <c r="L7" s="9" t="n">
        <v>50000000</v>
      </c>
    </row>
    <row r="8" ht="20" customHeight="1">
      <c r="A8" s="16" t="inlineStr">
        <is>
          <t>Free Cash Flow to Equity (FCFE)</t>
        </is>
      </c>
      <c r="B8" s="19">
        <f>-'Executive Summary'!D14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